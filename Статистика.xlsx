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<sst xmlns="http://schemas.openxmlformats.org/spreadsheetml/2006/main" xmlns:a="http://schemas.openxmlformats.org/drawingml/2006/main" xmlns:a14="http://schemas.microsoft.com/office/drawing/2010/main" xmlns:a15="http://schemas.microsoft.com/office/drawing/2012/main" xmlns:asvg="http://schemas.microsoft.com/office/drawing/2016/SVG/main" xmlns:c="http://schemas.openxmlformats.org/drawingml/2006/chart" xmlns:co="http://ncloudtech.com" xmlns:co-ooxml="http://ncloudtech.com/ooxml" xmlns:m="http://schemas.openxmlformats.org/officeDocument/2006/math" xmlns:mc="http://schemas.openxmlformats.org/markup-compatibility/2006" xmlns:o="urn:schemas-microsoft-com:office:office" xmlns:p="http://schemas.openxmlformats.org/presentationml/2006/main" xmlns:pic="http://schemas.openxmlformats.org/drawingml/2006/picture" xmlns:r="http://schemas.openxmlformats.org/officeDocument/2006/relationships" xmlns:s="http://schemas.openxmlformats.org/officeDocument/2006/sharedTypes" xmlns:sl="http://schemas.openxmlformats.org/schemaLibrary/2006/main" xmlns:v="urn:schemas-microsoft-com:vml" xmlns:w="http://schemas.openxmlformats.org/wordprocessingml/2006/main" xmlns:w10="urn:schemas-microsoft-com:office:word" xmlns:w14="http://schemas.microsoft.com/office/word/2010/wordml" xmlns:w15="http://schemas.microsoft.com/office/word/2012/wordml" xmlns:wp="http://schemas.openxmlformats.org/drawingml/2006/wordprocessingDrawing" xmlns:wpg="http://schemas.microsoft.com/office/word/2010/wordprocessingGroup" xmlns:wps="http://schemas.microsoft.com/office/word/2010/wordprocessingShape" xmlns:x="urn:schemas-microsoft-com:office:excel" xmlns:x12ac="http://schemas.microsoft.com/office/spreadsheetml/2011/1/ac" xmlns:x14="http://schemas.microsoft.com/office/spreadsheetml/2009/9/main" xmlns:xdr="http://schemas.openxmlformats.org/drawingml/2006/spreadsheetDrawing" xmlns:xm="http://schemas.microsoft.com/office/excel/2006/main" mc:Ignorable="co co-ooxml w14 x14 w15">
  <si>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EURUSD</t>
  </si>
  <si>
    <r>
      <t xml:space="preserve">GBPUSD </t>
    </r>
    <r>
      <rPr>
        <rFont val="XO Thames"/>
        <sz val="10"/>
      </rPr>
      <t>maxSpreed = 22 (17.02.2026)</t>
    </r>
  </si>
  <si>
    <t>USDJPY</t>
  </si>
  <si>
    <t>USDCHF</t>
  </si>
  <si>
    <r>
      <rPr>
        <rFont val="XO Thames"/>
        <sz val="14"/>
      </rPr>
      <t>Date</t>
    </r>
  </si>
  <si>
    <r>
      <rPr>
        <rFont val="XO Thames"/>
        <sz val="14"/>
      </rPr>
      <t>Res</t>
    </r>
  </si>
  <si>
    <t>Депозит начальный (21.01.2026): р.</t>
  </si>
  <si>
    <r>
      <rPr>
        <rFont val="XO Thames"/>
        <b val="true"/>
        <sz val="12"/>
      </rPr>
      <t>Эффективность</t>
    </r>
  </si>
  <si>
    <t>A</t>
  </si>
  <si>
    <t>B</t>
  </si>
  <si>
    <t>C</t>
  </si>
  <si>
    <t>Депозит на отчётный период: р.</t>
  </si>
  <si>
    <t>в %:</t>
  </si>
  <si>
    <t>eur</t>
  </si>
  <si>
    <t>gbp</t>
  </si>
  <si>
    <t>jpy</t>
  </si>
  <si>
    <t>chf</t>
  </si>
  <si>
    <r>
      <rPr>
        <rFont val="XO Thames"/>
        <b val="true"/>
        <color rgb="FFFFFF" tint="0"/>
        <sz val="14"/>
      </rPr>
      <t>buy</t>
    </r>
  </si>
  <si>
    <t>sell[block max positions]</t>
  </si>
  <si>
    <r>
      <rPr>
        <rFont val="XO Thames"/>
        <b val="true"/>
        <color rgb="FFFFFF" tint="0"/>
        <sz val="14"/>
      </rPr>
      <t>sell</t>
    </r>
  </si>
  <si>
    <t>profit</t>
  </si>
  <si>
    <t>lost</t>
  </si>
  <si>
    <t>sell[block spreed 21 &gt; 20]</t>
  </si>
  <si>
    <t>buy[block spreed 21 &gt; 20]</t>
  </si>
  <si>
    <t>sell[no deel] в данном случае сделка была бы успешной</t>
  </si>
  <si>
    <r>
      <rPr>
        <rFont val="XO Thames"/>
        <b val="true"/>
        <color rgb="FFFFFF" tint="0"/>
        <sz val="14"/>
      </rPr>
      <t>buy</t>
    </r>
  </si>
  <si>
    <r>
      <rPr>
        <rFont val="XO Thames"/>
        <b val="false"/>
        <color rgb="000000" tint="0"/>
        <sz val="12"/>
      </rPr>
      <t>сработал sl на новости, хотя не хватило 2 пунктов до tp</t>
    </r>
  </si>
  <si>
    <t>buy[block: maxPositions]</t>
  </si>
  <si>
    <t>sell[block: maxPositions]</t>
  </si>
  <si>
    <t>ожидается выход важных новостей в 16:30 Спб,</t>
  </si>
  <si>
    <t>sell[no deel]</t>
  </si>
  <si>
    <r>
      <rPr>
        <rFont val="XO Thames"/>
        <sz val="12"/>
      </rPr>
      <t>сделки к этому времени закрыть!</t>
    </r>
  </si>
  <si>
    <r>
      <rPr>
        <rFont val="XO Thames"/>
        <b val="true"/>
        <color rgb="FFFFFF" tint="0"/>
        <sz val="14"/>
      </rPr>
      <t>sell</t>
    </r>
  </si>
  <si>
    <t>sell[block ReEntries limit]</t>
  </si>
  <si>
    <r>
      <rPr>
        <rFont val="XO Thames"/>
        <b val="true"/>
        <color rgb="FFFFFF" tint="0"/>
        <sz val="14"/>
      </rPr>
      <t>sell</t>
    </r>
  </si>
  <si>
    <t>buy[no deel]</t>
  </si>
  <si>
    <r>
      <rPr>
        <rFont val="XO Thames"/>
        <b val="true"/>
        <color rgb="FFFFFF" tint="0"/>
        <sz val="14"/>
      </rPr>
      <t>sell</t>
    </r>
  </si>
  <si>
    <r>
      <rPr>
        <rFont val="XO Thames"/>
        <b val="true"/>
        <color rgb="FFFFFF" tint="0"/>
        <sz val="14"/>
      </rPr>
      <t>buy</t>
    </r>
  </si>
  <si>
    <r>
      <rPr>
        <rFont val="XO Thames"/>
        <b val="true"/>
        <color rgb="FFFFFF" tint="0"/>
        <sz val="14"/>
      </rPr>
      <t>sell</t>
    </r>
  </si>
  <si>
    <r>
      <rPr>
        <rFont val="XO Thames"/>
        <b val="false"/>
        <color rgb="000000" tint="0"/>
        <sz val="12"/>
      </rPr>
      <t>была возможность зафиксировать 1/2 профита по правилу Сейф.</t>
    </r>
  </si>
  <si>
    <r>
      <rPr>
        <rFont val="XO Thames"/>
        <b val="true"/>
        <color rgb="FFFFFF" tint="0"/>
        <sz val="14"/>
      </rPr>
      <t>buy</t>
    </r>
  </si>
  <si>
    <t>SL сработал ночью на расширенном спреде. Вывод - не оставлять позицию на следующий день!</t>
  </si>
  <si>
    <r>
      <rPr>
        <rFont val="XO Thames"/>
        <b val="true"/>
        <color rgb="FFFFFF" tint="0"/>
        <sz val="14"/>
      </rPr>
      <t>buy</t>
    </r>
  </si>
  <si>
    <t>buy [block spreed 21 &gt; 20]</t>
  </si>
  <si>
    <r>
      <rPr>
        <rFont val="XO Thames"/>
        <b val="true"/>
        <color rgb="FFFFFF" tint="0"/>
        <sz val="14"/>
      </rPr>
      <t>buy</t>
    </r>
  </si>
  <si>
    <t>закрыл вручную на сильном рывке после новостей в 16:30</t>
  </si>
  <si>
    <t>buy[no deel max position]</t>
  </si>
  <si>
    <t>sell [block spreed 21 &gt; 20]</t>
  </si>
  <si>
    <r>
      <rPr>
        <rFont val="XO Thames"/>
        <b val="true"/>
        <color rgb="FFFFFF" tint="0"/>
        <sz val="14"/>
      </rPr>
      <t>sell</t>
    </r>
  </si>
  <si>
    <r>
      <t>sell[</t>
    </r>
    <r>
      <rPr>
        <rFont val="XO Thames"/>
        <sz val="12"/>
      </rPr>
      <t>no deel max position]</t>
    </r>
  </si>
  <si>
    <r>
      <t>buy[</t>
    </r>
    <r>
      <rPr>
        <rFont val="XO Thames"/>
        <sz val="12"/>
      </rPr>
      <t>no deel max position]</t>
    </r>
  </si>
  <si>
    <r>
      <rPr>
        <rFont val="XO Thames"/>
        <b val="true"/>
        <color rgb="FFFFFF" tint="0"/>
        <sz val="14"/>
      </rPr>
      <t>buy</t>
    </r>
  </si>
  <si>
    <t xml:space="preserve">Не уследил и открылась сделка на новости! </t>
  </si>
  <si>
    <r>
      <rPr>
        <rFont val="XO Thames"/>
        <b val="true"/>
        <color rgb="FFFFFF" tint="0"/>
        <sz val="14"/>
      </rPr>
      <t>buy</t>
    </r>
  </si>
  <si>
    <r>
      <rPr>
        <rFont val="XO Thames"/>
        <b val="true"/>
        <color rgb="FFFFFF" tint="0"/>
        <sz val="14"/>
      </rPr>
      <t>buy</t>
    </r>
  </si>
  <si>
    <t>sell[no deel max position]</t>
  </si>
  <si>
    <r>
      <rPr>
        <rFont val="XO Thames"/>
        <b val="true"/>
        <color rgb="FFFFFF" tint="0"/>
        <sz val="14"/>
      </rPr>
      <t>buy</t>
    </r>
  </si>
  <si>
    <r>
      <rPr>
        <rFont val="XO Thames"/>
        <b val="true"/>
        <color rgb="FFFFFF" tint="0"/>
        <sz val="14"/>
      </rPr>
      <t>sell</t>
    </r>
  </si>
  <si>
    <r>
      <rPr>
        <rFont val="XO Thames"/>
        <b val="true"/>
        <color rgb="FFFFFF" tint="0"/>
        <sz val="14"/>
      </rPr>
      <t>sell</t>
    </r>
  </si>
  <si>
    <t>buy[block ReEntries limit]</t>
  </si>
  <si>
    <r>
      <t>buy</t>
    </r>
    <r>
      <rPr>
        <rFont val="XO Thames"/>
        <sz val="12"/>
      </rPr>
      <t xml:space="preserve"> [block spreed 21 &gt; 20]</t>
    </r>
  </si>
  <si>
    <t>Поставил spreed для GBP &lt;= 22 pips</t>
  </si>
  <si>
    <r>
      <rPr>
        <rFont val="XO Thames"/>
        <b val="true"/>
        <color rgb="FFFFFF" tint="0"/>
        <sz val="14"/>
      </rPr>
      <t>buy</t>
    </r>
  </si>
  <si>
    <t>Сделка закрылась 18.02 с профитом, однако надо учитывать, что вышла позитивная новость по Братинии, но в дальнейшем бы всё равно закрылся профитом</t>
  </si>
  <si>
    <r>
      <rPr>
        <rFont val="XO Thames"/>
        <b val="true"/>
        <color rgb="FFFFFF" tint="0"/>
        <sz val="14"/>
      </rPr>
      <t>sell</t>
    </r>
  </si>
  <si>
    <r>
      <rPr>
        <rFont val="XO Thames"/>
        <b val="true"/>
        <color rgb="FFFFFF" tint="0"/>
        <sz val="14"/>
      </rPr>
      <t>buy</t>
    </r>
  </si>
  <si>
    <r>
      <rPr>
        <rFont val="XO Thames"/>
        <b val="false"/>
        <color rgb="000000" tint="0"/>
        <sz val="12"/>
      </rPr>
      <t>была возможность зафиксировать 1/2 профита по правилу Сейф.</t>
    </r>
  </si>
  <si>
    <r>
      <rPr>
        <rFont val="XO Thames"/>
        <b val="true"/>
        <color rgb="FFFFFF" tint="0"/>
        <sz val="14"/>
      </rPr>
      <t>sell</t>
    </r>
  </si>
  <si>
    <r>
      <rPr>
        <rFont val="XO Thames"/>
        <b val="false"/>
        <color rgb="000000" tint="0"/>
        <sz val="12"/>
      </rPr>
      <t>была возможность зафиксировать 1/2 профита по правилу Сейф.</t>
    </r>
  </si>
  <si>
    <r>
      <rPr>
        <rFont val="XO Thames"/>
        <b val="true"/>
        <color rgb="FFFFFF" tint="0"/>
        <sz val="14"/>
      </rPr>
      <t>buy</t>
    </r>
  </si>
  <si>
    <r>
      <t>buy</t>
    </r>
    <r>
      <rPr>
        <rFont val="XO Thames"/>
        <sz val="12"/>
      </rPr>
      <t>[no deel]</t>
    </r>
  </si>
  <si>
    <r>
      <rPr>
        <rFont val="XO Thames"/>
        <b val="true"/>
        <color rgb="FFFFFF" tint="0"/>
        <sz val="14"/>
      </rPr>
      <t>buy</t>
    </r>
  </si>
  <si>
    <r>
      <rPr>
        <rFont val="XO Thames"/>
        <b val="true"/>
        <color rgb="FFFFFF" tint="0"/>
        <sz val="14"/>
      </rPr>
      <t>sell</t>
    </r>
  </si>
  <si>
    <t>Закрыл вручную когда цена подошла на величину спреда до TP. Но если бы дождался, то закрыл по TP</t>
  </si>
  <si>
    <r>
      <rPr>
        <rFont val="XO Thames"/>
        <b val="true"/>
        <color rgb="FFFFFF" tint="0"/>
        <sz val="14"/>
      </rPr>
      <t>sell</t>
    </r>
  </si>
  <si>
    <r>
      <rPr>
        <rFont val="XO Thames"/>
        <b val="true"/>
        <color rgb="FFFFFF" tint="0"/>
        <sz val="14"/>
      </rPr>
      <t>sell</t>
    </r>
  </si>
  <si>
    <r>
      <rPr>
        <rFont val="XO Thames"/>
        <b val="true"/>
        <color rgb="FFFFFF" tint="0"/>
        <sz val="14"/>
      </rPr>
      <t>buy</t>
    </r>
  </si>
  <si>
    <r>
      <rPr>
        <rFont val="XO Thames"/>
        <b val="true"/>
        <color rgb="FFFFFF" tint="0"/>
        <sz val="14"/>
      </rPr>
      <t>buy</t>
    </r>
  </si>
  <si>
    <t>Закрыл вручную, когда цена подошла на величину спреда до TP чтобы не оставлять на выходные.</t>
  </si>
  <si>
    <r>
      <t>sell</t>
    </r>
    <r>
      <rPr>
        <rFont val="XO Thames"/>
        <sz val="12"/>
      </rPr>
      <t>[no deel max position]</t>
    </r>
  </si>
  <si>
    <r>
      <t>sell</t>
    </r>
    <r>
      <rPr>
        <rFont val="XO Thames"/>
        <sz val="12"/>
      </rPr>
      <t>[no deel max position]</t>
    </r>
  </si>
  <si>
    <r>
      <rPr>
        <rFont val="XO Thames"/>
        <b val="true"/>
        <sz val="16"/>
      </rPr>
      <t xml:space="preserve">21.01-20.02.2026г. завершён с прибылью 17,6%. </t>
    </r>
  </si>
  <si>
    <t>10 deels 7/3 70% эффективность. Все 3 убыточные сделки buy.</t>
  </si>
  <si>
    <t xml:space="preserve">3 deels. 2/1 50% эффективность.   </t>
  </si>
  <si>
    <t>7 deels 2/5 28% эффективность.</t>
  </si>
  <si>
    <t>9 deels 5/4 55% эффективность.</t>
  </si>
  <si>
    <r>
      <rPr>
        <rFont val="XO Thames"/>
        <b val="true"/>
        <color rgb="FFFFFF" tint="0"/>
        <sz val="14"/>
      </rPr>
      <t>sell</t>
    </r>
  </si>
  <si>
    <r>
      <rPr>
        <rFont val="XO Thames"/>
        <b val="true"/>
        <color rgb="FFFFFF" tint="0"/>
        <sz val="14"/>
      </rPr>
      <t>buy</t>
    </r>
  </si>
  <si>
    <r>
      <rPr>
        <rFont val="XO Thames"/>
        <b val="true"/>
        <color rgb="FFFFFF" tint="0"/>
        <sz val="14"/>
      </rPr>
      <t>sell</t>
    </r>
  </si>
  <si>
    <r>
      <rPr>
        <rFont val="XO Thames"/>
        <b val="true"/>
        <color rgb="FFFFFF" tint="0"/>
        <sz val="14"/>
      </rPr>
      <t>buy</t>
    </r>
  </si>
  <si>
    <r>
      <rPr>
        <rFont val="XO Thames"/>
        <b val="true"/>
        <color rgb="FFFFFF" tint="0"/>
        <sz val="14"/>
      </rPr>
      <t>buy</t>
    </r>
  </si>
  <si>
    <t>sell[no deal]</t>
  </si>
  <si>
    <t>Корректировка.</t>
  </si>
  <si>
    <r>
      <rPr>
        <rFont val="XO Thames"/>
        <b val="true"/>
        <color rgb="FFFFFF" tint="0"/>
        <sz val="14"/>
      </rPr>
      <t>sell</t>
    </r>
  </si>
  <si>
    <r>
      <rPr>
        <rFont val="XO Thames"/>
        <b val="true"/>
        <color rgb="FFFFFF" tint="0"/>
        <sz val="14"/>
      </rPr>
      <t>buy</t>
    </r>
  </si>
  <si>
    <r>
      <rPr>
        <rFont val="XO Thames"/>
        <b val="true"/>
        <color rgb="FFFFFF" tint="0"/>
        <sz val="14"/>
      </rPr>
      <t>buy</t>
    </r>
  </si>
  <si>
    <r>
      <rPr>
        <rFont val="XO Thames"/>
        <b val="true"/>
        <color rgb="FFFFFF" tint="0"/>
        <sz val="14"/>
      </rPr>
      <t>buy</t>
    </r>
  </si>
  <si>
    <r>
      <rPr>
        <rFont val="XO Thames"/>
        <b val="true"/>
        <color rgb="FFFFFF" tint="0"/>
        <sz val="14"/>
      </rPr>
      <t>sell</t>
    </r>
  </si>
  <si>
    <r>
      <rPr>
        <rFont val="XO Thames"/>
        <b val="true"/>
        <color rgb="FFFFFF" tint="0"/>
        <sz val="14"/>
      </rPr>
      <t>sell</t>
    </r>
  </si>
  <si>
    <r>
      <rPr>
        <rFont val="XO Thames"/>
        <b val="false"/>
        <color rgb="000000" tint="0"/>
        <sz val="12"/>
      </rPr>
      <t>была возможность зафиксировать 1/2 профита по правилу Сейф.</t>
    </r>
  </si>
  <si>
    <r>
      <rPr>
        <rFont val="XO Thames"/>
        <b val="true"/>
        <color rgb="FFFFFF" tint="0"/>
        <sz val="14"/>
      </rPr>
      <t>sell</t>
    </r>
  </si>
  <si>
    <r>
      <rPr>
        <rFont val="XO Thames"/>
        <b val="true"/>
        <i val="true"/>
        <sz val="12"/>
      </rPr>
      <t>Включил Partial_Close_ON - частичное закрытие сделки по достижении 10 пунктов от цены открытия.</t>
    </r>
  </si>
  <si>
    <r>
      <rPr>
        <rFont val="XO Thames"/>
        <b val="true"/>
        <color rgb="FFFFFF" tint="0"/>
        <sz val="14"/>
      </rPr>
      <t>sell</t>
    </r>
  </si>
  <si>
    <t>частичное закрытие.</t>
  </si>
  <si>
    <r>
      <rPr>
        <rFont val="XO Thames"/>
        <b val="true"/>
        <color rgb="FFFFFF" tint="0"/>
        <sz val="14"/>
      </rPr>
      <t>buy</t>
    </r>
  </si>
  <si>
    <r>
      <rPr>
        <rFont val="XO Thames"/>
        <b val="true"/>
        <color rgb="000000" tint="0"/>
        <sz val="14"/>
      </rPr>
      <t>buy</t>
    </r>
  </si>
  <si>
    <r>
      <rPr>
        <rFont val="XO Thames"/>
        <b val="true"/>
        <color rgb="FFFFFF" tint="0"/>
        <sz val="14"/>
      </rPr>
      <t>sell</t>
    </r>
  </si>
  <si>
    <t>остаток от частично закрытой сделки.</t>
  </si>
  <si>
    <t>Корректировка из за частичного закрытия одной сделки.</t>
  </si>
  <si>
    <r>
      <rPr>
        <rFont val="XO Thames"/>
        <b val="true"/>
        <color rgb="FFFFFF" tint="0"/>
        <sz val="14"/>
      </rPr>
      <t>buy</t>
    </r>
  </si>
  <si>
    <t>Сделки открыты рано утром, до начала европейской сессии. Высокий риск расширенных спредов, непредсказуемых движений.</t>
  </si>
  <si>
    <r>
      <rPr>
        <rFont val="XO Thames"/>
        <b val="true"/>
        <color rgb="FFFFFF" tint="0"/>
        <sz val="14"/>
      </rPr>
      <t>sell</t>
    </r>
  </si>
  <si>
    <r>
      <rPr>
        <rFont val="XO Thames"/>
        <b val="true"/>
        <color rgb="000000" tint="0"/>
        <sz val="14"/>
      </rPr>
      <t>buy(05:10:02 - 08:59:20)</t>
    </r>
  </si>
  <si>
    <r>
      <rPr>
        <rFont val="XO Thames"/>
        <b val="true"/>
        <i val="true"/>
        <sz val="12"/>
      </rPr>
      <t xml:space="preserve">Проставляем время открытия и закрытия сделки!
</t>
    </r>
    <r>
      <t>частичное закрытие. С сегодняшнего дня отмечается чёрным цветорм шрифта.</t>
    </r>
  </si>
  <si>
    <r>
      <rPr>
        <rFont val="XO Thames"/>
        <b val="true"/>
        <sz val="14"/>
      </rPr>
      <t>buy(05:10:02 - 11:00:29)</t>
    </r>
  </si>
  <si>
    <t>sell[no deel MaxPositions]</t>
  </si>
  <si>
    <r>
      <rPr>
        <rFont val="XO Thames"/>
        <b val="true"/>
        <sz val="14"/>
      </rPr>
      <t>sell(11:10:00 - 13:30:42)</t>
    </r>
  </si>
  <si>
    <r>
      <rPr>
        <rFont val="XO Thames"/>
        <b val="true"/>
        <sz val="14"/>
      </rPr>
      <t>sell(11:10:00 - 14:16:45)</t>
    </r>
  </si>
  <si>
    <r>
      <rPr>
        <rFont val="XO Thames"/>
        <b val="true"/>
        <sz val="14"/>
      </rPr>
      <t>sell(15:10:01- 17:45:00)</t>
    </r>
  </si>
  <si>
    <r>
      <rPr>
        <rFont val="XO Thames"/>
        <b val="true"/>
        <sz val="14"/>
      </rPr>
      <t>sell(15:10:01- 17:45:00)</t>
    </r>
  </si>
  <si>
    <t>Не понятно почему без открытия - было бы более выгодно, чем сигнал А</t>
  </si>
  <si>
    <r>
      <rPr>
        <rFont val="XO Thames"/>
        <b val="true"/>
        <color rgb="FFFFFF" tint="0"/>
        <sz val="14"/>
      </rPr>
      <t>sell(20:18:43 - 21:59:30)</t>
    </r>
  </si>
  <si>
    <r>
      <rPr>
        <rFont val="XO Thames"/>
        <b val="true"/>
        <color rgb="FFFFFF" tint="0"/>
        <sz val="14"/>
      </rPr>
      <t>buy(22:05:15 - 01:01:34)</t>
    </r>
  </si>
  <si>
    <t>Закрытие сделки ночью на гэпе ниже SL</t>
  </si>
  <si>
    <t>buy[no deal]</t>
  </si>
  <si>
    <r>
      <rPr>
        <rFont val="XO Thames"/>
        <b val="true"/>
        <color rgb="FFFFFF" tint="0"/>
        <sz val="14"/>
      </rPr>
      <t>buy(11:05:02 - 11:17:25)</t>
    </r>
  </si>
  <si>
    <r>
      <rPr>
        <rFont val="XO Thames"/>
        <b val="true"/>
        <i val="true"/>
        <sz val="12"/>
      </rPr>
      <t xml:space="preserve">Увеличиваю более жёсткие рамки значений </t>
    </r>
    <r>
      <rPr>
        <rFont val="Trebuchet MS"/>
        <b val="true"/>
        <i val="true"/>
        <color rgb="000000" tint="0"/>
        <sz val="10.5"/>
      </rPr>
      <t xml:space="preserve">USDJPY M5:  CZ_LookbackN = 14,  CZ_ATR_K = 1.7 и </t>
    </r>
    <r>
      <rPr>
        <rFont val="Trebuchet MS"/>
        <b val="true"/>
        <i val="true"/>
        <color rgb="000000" tint="0"/>
        <sz val="10.5"/>
      </rPr>
      <t>USDCHF M5:  CZ_LookbackN = 13,  CZ_ATR_K = 1.7</t>
    </r>
  </si>
  <si>
    <r>
      <rPr>
        <rFont val="XO Thames"/>
        <b val="true"/>
        <color rgb="FFFFFF" tint="0"/>
        <sz val="14"/>
      </rPr>
      <t>sell(12:20:01- 16:08:28)</t>
    </r>
  </si>
  <si>
    <r>
      <rPr>
        <rFont val="XO Thames"/>
        <b val="true"/>
        <sz val="14"/>
      </rPr>
      <t>buy(12:40:22 - 14:08:47)</t>
    </r>
  </si>
  <si>
    <r>
      <rPr>
        <rFont val="XO Thames"/>
        <b val="true"/>
        <sz val="14"/>
      </rPr>
      <t>buy(12:40:22 - 16:11:25)</t>
    </r>
  </si>
  <si>
    <r>
      <rPr>
        <rFont val="XO Thames"/>
        <b val="true"/>
        <sz val="14"/>
      </rPr>
      <t>sell(14:05:03 - 16:34:47)</t>
    </r>
  </si>
  <si>
    <r>
      <rPr>
        <rFont val="XO Thames"/>
        <b val="true"/>
        <sz val="14"/>
      </rPr>
      <t>sell(14:05:03 - 16:45:49)</t>
    </r>
  </si>
  <si>
    <r>
      <rPr>
        <rFont val="XO Thames"/>
        <b val="true"/>
        <sz val="14"/>
      </rPr>
      <t>buy(13:20:01 - 13:44:54)</t>
    </r>
  </si>
  <si>
    <r>
      <rPr>
        <rFont val="XO Thames"/>
        <b val="true"/>
        <sz val="14"/>
      </rPr>
      <t>buy(13:20:01 - 14:26:04)</t>
    </r>
  </si>
  <si>
    <r>
      <rPr>
        <rFont val="XO Thames"/>
        <b val="true"/>
        <color rgb="FFFFFF" tint="0"/>
        <sz val="14"/>
      </rPr>
      <t>buy(13:20:01 - 14:19:05)</t>
    </r>
  </si>
  <si>
    <r>
      <rPr>
        <rFont val="XO Thames"/>
        <b val="true"/>
        <sz val="14"/>
      </rPr>
      <t>sell(10:15:01 - 10:38:45)</t>
    </r>
  </si>
  <si>
    <r>
      <rPr>
        <rFont val="XO Thames"/>
        <b val="true"/>
        <sz val="14"/>
      </rPr>
      <t>sell(10:15:01 - 11:05:14)</t>
    </r>
  </si>
  <si>
    <r>
      <rPr>
        <rFont val="XO Thames"/>
        <b val="true"/>
        <color rgb="000000" tint="0"/>
        <sz val="14"/>
      </rPr>
      <t>sell(10:30:01 - 10:41:33)</t>
    </r>
  </si>
  <si>
    <r>
      <rPr>
        <rFont val="XO Thames"/>
        <b val="true"/>
        <color rgb="000000" tint="0"/>
        <sz val="14"/>
      </rPr>
      <t>sell(10:30:01 - 11:12:38)</t>
    </r>
  </si>
  <si>
    <r>
      <rPr>
        <rFont val="XO Thames"/>
        <b val="true"/>
        <color rgb="FFFFFF" tint="0"/>
        <sz val="14"/>
      </rPr>
      <t>sell(14:20:00 -17:24:32)</t>
    </r>
  </si>
  <si>
    <r>
      <rPr>
        <rFont val="XO Thames"/>
        <b val="true"/>
        <i val="true"/>
        <sz val="12"/>
      </rPr>
      <t xml:space="preserve">Корректирую значения </t>
    </r>
    <r>
      <rPr>
        <rFont val="Trebuchet MS"/>
        <b val="true"/>
        <i val="true"/>
        <color rgb="000000" tint="0"/>
        <sz val="10.5"/>
      </rPr>
      <t xml:space="preserve">USDJPY M5:  CZ_LookbackN = 14,  CZ_ATR_K = 1.9 и </t>
    </r>
    <r>
      <rPr>
        <rFont val="XO Thames"/>
        <b val="true"/>
        <i val="true"/>
        <sz val="12"/>
      </rPr>
      <t xml:space="preserve"> </t>
    </r>
    <r>
      <rPr>
        <rFont val="Trebuchet MS"/>
        <b val="true"/>
        <i val="true"/>
        <color rgb="000000" tint="0"/>
        <sz val="10.5"/>
      </rPr>
      <t>USDCHF M5:  CZ_LookbackN = 12,  CZ_ATR_K = 1.7</t>
    </r>
  </si>
  <si>
    <r>
      <rPr>
        <rFont val="XO Thames"/>
        <b val="true"/>
        <color rgb="FFFFFF" tint="0"/>
        <sz val="14"/>
      </rPr>
      <t>sell(16:35:01 - 17:58:34)</t>
    </r>
  </si>
  <si>
    <t>Сделка прошла без "Сейфа", так как был выключен терминал в процессе ведения позиции. Это же относится и к предыдущей сделке по EUR.</t>
  </si>
  <si>
    <r>
      <rPr>
        <rFont val="XO Thames"/>
        <b val="true"/>
        <i val="true"/>
        <sz val="12"/>
      </rPr>
      <t xml:space="preserve">Корректирую значения </t>
    </r>
    <r>
      <rPr>
        <rFont val="Trebuchet MS"/>
        <b val="true"/>
        <i val="true"/>
        <color rgb="000000" tint="0"/>
        <sz val="10.5"/>
      </rPr>
      <t xml:space="preserve">USDJPY M5:  CZ_LookbackN = 10,  CZ_ATR_K = 1.8 и </t>
    </r>
    <r>
      <rPr>
        <rFont val="XO Thames"/>
        <b val="true"/>
        <i val="true"/>
        <sz val="12"/>
      </rPr>
      <t xml:space="preserve"> </t>
    </r>
    <r>
      <rPr>
        <rFont val="Trebuchet MS"/>
        <b val="true"/>
        <i val="true"/>
        <color rgb="000000" tint="0"/>
        <sz val="10.5"/>
      </rPr>
      <t>USDCHF M5:  CZ_LookbackN = 12,  CZ_ATR_K = 2.0</t>
    </r>
  </si>
  <si>
    <t>buy{no deal]</t>
  </si>
  <si>
    <r>
      <rPr>
        <rFont val="XO Thames"/>
        <b val="true"/>
        <color rgb="FFFFFF" tint="0"/>
        <sz val="14"/>
      </rPr>
      <t>buy(10:15:01 - 14:56:24)</t>
    </r>
  </si>
  <si>
    <r>
      <rPr>
        <rFont val="XO Thames"/>
        <b val="true"/>
        <color rgb="FFFFFF" tint="0"/>
        <sz val="14"/>
      </rPr>
      <t>buy(10:15:01 - 14:51:31)</t>
    </r>
  </si>
  <si>
    <r>
      <rPr>
        <rFont val="XO Thames"/>
        <b val="true"/>
        <color rgb="FFFFFF" tint="0"/>
        <sz val="14"/>
      </rPr>
      <t>sell(14:25:01 - 17:09:29)</t>
    </r>
  </si>
  <si>
    <r>
      <rPr>
        <rFont val="XO Thames"/>
        <b val="true"/>
        <color rgb="FFFFFF" tint="0"/>
        <sz val="14"/>
      </rPr>
      <t>sell(13:40:01 - 14:01:09)</t>
    </r>
  </si>
  <si>
    <r>
      <rPr>
        <rFont val="XO Thames"/>
        <b val="true"/>
        <color rgb="000000" tint="0"/>
        <sz val="14"/>
      </rPr>
      <t>sell(13:40:01 - 16:49:00)</t>
    </r>
  </si>
  <si>
    <r>
      <t>buy[</t>
    </r>
    <r>
      <rPr>
        <rFont val="XO Thames"/>
        <color rgb="000000" tint="0"/>
        <sz val="12"/>
      </rPr>
      <t>no deel MaxPositions]</t>
    </r>
  </si>
  <si>
    <r>
      <rPr>
        <rFont val="XO Thames"/>
        <b val="true"/>
        <i val="true"/>
        <sz val="12"/>
      </rPr>
      <t xml:space="preserve">Корректирую значения </t>
    </r>
    <r>
      <rPr>
        <rFont val="Trebuchet MS"/>
        <b val="true"/>
        <i val="true"/>
        <color rgb="000000" tint="0"/>
        <sz val="10.5"/>
      </rPr>
      <t xml:space="preserve">USDJPY M5:  CZ_LookbackN = 10,  CZ_ATR_K = 1.9 и </t>
    </r>
    <r>
      <rPr>
        <rFont val="XO Thames"/>
        <b val="true"/>
        <i val="true"/>
        <sz val="12"/>
      </rPr>
      <t xml:space="preserve"> </t>
    </r>
    <r>
      <rPr>
        <rFont val="Trebuchet MS"/>
        <b val="true"/>
        <i val="true"/>
        <color rgb="000000" tint="0"/>
        <sz val="10.5"/>
      </rPr>
      <t>USDCHF M5:  CZ_LookbackN = 11,  CZ_ATR_K = 2.0</t>
    </r>
  </si>
  <si>
    <r>
      <rPr>
        <rFont val="XO Thames"/>
        <b val="true"/>
        <sz val="14"/>
      </rPr>
      <t>buy(21:40:01 - 22:25:42)</t>
    </r>
  </si>
  <si>
    <r>
      <rPr>
        <rFont val="XO Thames"/>
        <b val="true"/>
        <sz val="14"/>
      </rPr>
      <t>sell[15:25:01 - 15:45:27)</t>
    </r>
  </si>
  <si>
    <r>
      <rPr>
        <rFont val="XO Thames"/>
        <b val="true"/>
        <sz val="14"/>
      </rPr>
      <t>buy(16:15:01 - 16:37:00)</t>
    </r>
  </si>
  <si>
    <r>
      <rPr>
        <rFont val="XO Thames"/>
        <b val="true"/>
        <sz val="14"/>
      </rPr>
      <t>buy(16:15:01 - 17:06:14)</t>
    </r>
  </si>
  <si>
    <r>
      <rPr>
        <rFont val="XO Thames"/>
        <b val="true"/>
        <sz val="14"/>
      </rPr>
      <t>buy(15:55:01 - 16:30:18)</t>
    </r>
  </si>
  <si>
    <r>
      <rPr>
        <rFont val="XO Thames"/>
        <b val="true"/>
        <sz val="14"/>
      </rPr>
      <t>sell(18:10:01 - 18:54:00)</t>
    </r>
  </si>
  <si>
    <r>
      <rPr>
        <rFont val="XO Thames"/>
        <b val="true"/>
        <sz val="14"/>
      </rPr>
      <t>sell(19:25:01 - 20:16:06)</t>
    </r>
  </si>
  <si>
    <r>
      <t>buy[</t>
    </r>
    <r>
      <rPr>
        <rFont val="XO Thames"/>
        <color rgb="000000" tint="0"/>
        <sz val="12"/>
      </rPr>
      <t>no deel MaxPositions]</t>
    </r>
  </si>
  <si>
    <r>
      <rPr>
        <rFont val="XO Thames"/>
        <b val="true"/>
        <color rgb="000000" tint="0"/>
        <sz val="14"/>
      </rPr>
      <t>buy(14:00:01 - 14:22:22)</t>
    </r>
  </si>
  <si>
    <r>
      <rPr>
        <rFont val="XO Thames"/>
        <b val="true"/>
        <color rgb="000000" tint="0"/>
        <sz val="14"/>
      </rPr>
      <t>buy(14:00:01 - 15:41:59)</t>
    </r>
  </si>
  <si>
    <r>
      <rPr>
        <rFont val="XO Thames"/>
        <b val="true"/>
        <sz val="14"/>
      </rPr>
      <t>sell(13:45:01 - 15:00:53)</t>
    </r>
  </si>
  <si>
    <r>
      <rPr>
        <rFont val="XO Thames"/>
        <b val="true"/>
        <sz val="14"/>
      </rPr>
      <t>sell(13:45:01 - 16:38:27)</t>
    </r>
  </si>
  <si>
    <r>
      <rPr>
        <rFont val="XO Thames"/>
        <b val="true"/>
        <sz val="14"/>
      </rPr>
      <t>sell(13:55:01 - 14:32:02)</t>
    </r>
  </si>
  <si>
    <r>
      <t>buy</t>
    </r>
    <r>
      <rPr>
        <rFont val="XO Thames"/>
        <sz val="12"/>
      </rPr>
      <t>[no deel max position]</t>
    </r>
  </si>
  <si>
    <r>
      <rPr>
        <rFont val="XO Thames"/>
        <b val="true"/>
        <sz val="14"/>
      </rPr>
      <t>buy(15:35:01 - 16:15:10)</t>
    </r>
  </si>
  <si>
    <t>buy(blocked: EMA)</t>
  </si>
  <si>
    <t>sell(blocked: EMA)</t>
  </si>
  <si>
    <r>
      <rPr>
        <rFont val="XO Thames"/>
        <b val="true"/>
        <sz val="14"/>
      </rPr>
      <t>sell(15:40:01 - 16:48:18)</t>
    </r>
  </si>
  <si>
    <r>
      <rPr>
        <rFont val="XO Thames"/>
        <b val="true"/>
        <i val="true"/>
        <sz val="12"/>
      </rPr>
      <t xml:space="preserve">Отработка на значениях </t>
    </r>
    <r>
      <rPr>
        <rFont val="Trebuchet MS"/>
        <b val="true"/>
        <i val="true"/>
        <color rgb="000000" tint="0"/>
        <sz val="10.5"/>
      </rPr>
      <t>CZ_LookbackN = 10,  CZ_ATR_K = 1.9. Внёс изменения в более мягкие условия для EURUSD</t>
    </r>
  </si>
  <si>
    <t>buy(blocked: MinRR)</t>
  </si>
  <si>
    <t>buy(no deal ?)</t>
  </si>
  <si>
    <r>
      <rPr>
        <rFont val="XO Thames"/>
        <b val="true"/>
        <color rgb="000000" tint="0"/>
        <sz val="14"/>
      </rPr>
      <t>buy(13:50:02 - 14:49:59)</t>
    </r>
  </si>
  <si>
    <t>Закрылась по трейлинг-стопу (вторая сделка по Сейфу) - отменю сейчас трейлинг</t>
  </si>
  <si>
    <r>
      <rPr>
        <rFont val="XO Thames"/>
        <sz val="12"/>
      </rPr>
      <t>buy(blocked: MinRR)</t>
    </r>
  </si>
  <si>
    <r>
      <rPr>
        <rFont val="XO Thames"/>
        <sz val="12"/>
      </rPr>
      <t>sell(blocked: EMA)</t>
    </r>
  </si>
  <si>
    <r>
      <rPr>
        <rFont val="XO Thames"/>
        <color rgb="000000" tint="0"/>
        <sz val="12"/>
      </rPr>
      <t>buy(no deal ?)</t>
    </r>
  </si>
  <si>
    <r>
      <rPr>
        <rFont val="XO Thames"/>
        <b val="true"/>
        <sz val="14"/>
      </rPr>
      <t>sell(11:30:01 - 20:29:47)</t>
    </r>
  </si>
  <si>
    <r>
      <rPr>
        <rFont val="XO Thames"/>
        <b val="true"/>
        <sz val="14"/>
      </rPr>
      <t>buy(13:20:01 - 14:17:36)</t>
    </r>
  </si>
  <si>
    <r>
      <rPr>
        <rFont val="XO Thames"/>
        <color rgb="000000" tint="0"/>
        <sz val="12"/>
      </rPr>
      <t>buy(no deal ?)</t>
    </r>
  </si>
  <si>
    <r>
      <rPr>
        <rFont val="XO Thames"/>
        <b val="true"/>
        <sz val="14"/>
      </rPr>
      <t>buy(20:13:53 - )</t>
    </r>
  </si>
  <si>
    <t>Открытие сделки сразу после запуска терминала. Не исключено, что по старым зонам, так как новая ещё явно не успела бы построиться.</t>
  </si>
  <si>
    <t>sell(blocked: MinRR)</t>
  </si>
  <si>
    <r>
      <rPr>
        <rFont val="XO Thames"/>
        <sz val="12"/>
      </rPr>
      <t>sell(blocked: MinRR)</t>
    </r>
  </si>
  <si>
    <t>buy(blocked: MaxPositions)</t>
  </si>
  <si>
    <r>
      <rPr>
        <rFont val="XO Thames"/>
        <sz val="12"/>
      </rPr>
      <t>buy(blocked: MaxPositions)</t>
    </r>
  </si>
  <si>
    <r>
      <rPr>
        <rFont val="XO Thames"/>
        <sz val="12"/>
      </rPr>
      <t>buy(blocked: MaxPositions)</t>
    </r>
  </si>
</sst>
</file>

<file path=xl/styles.xml><?xml version="1.0" encoding="utf-8"?>
<styleSheet xmlns="http://schemas.openxmlformats.org/spreadsheetml/2006/main"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0.0;-0.0" formatCode="0.0;-0.0" numFmtId="1001"/>
    <numFmt co:extendedFormatCode="General" formatCode="General" numFmtId="1002"/>
  </numFmts>
  <fonts count="14">
    <font>
      <name val="Calibri"/>
      <sz val="11"/>
    </font>
    <font>
      <name val="XO Thames"/>
      <sz val="12"/>
    </font>
    <font>
      <name val="XO Thames"/>
      <sz val="14"/>
    </font>
    <font>
      <name val="XO Thames"/>
      <b val="true"/>
      <sz val="12"/>
    </font>
    <font>
      <name val="XO Thames"/>
      <b val="true"/>
      <color rgb="FB290D" tint="0"/>
      <sz val="12"/>
    </font>
    <font>
      <name val="XO Thames"/>
      <b val="true"/>
      <color rgb="FFFFFF" tint="0"/>
      <sz val="14"/>
    </font>
    <font>
      <name val="XO Thames"/>
      <b val="false"/>
      <color rgb="000000" tint="0"/>
      <sz val="12"/>
    </font>
    <font>
      <name val="XO Thames"/>
      <color rgb="FFFFFF" tint="0"/>
      <sz val="12"/>
    </font>
    <font>
      <name val="XO Verona"/>
      <sz val="12"/>
    </font>
    <font>
      <name val="XO Thames"/>
      <b val="true"/>
      <sz val="16"/>
    </font>
    <font>
      <name val="XO Thames"/>
      <b val="true"/>
      <i val="true"/>
      <sz val="12"/>
    </font>
    <font>
      <name val="XO Thames"/>
      <b val="true"/>
      <color rgb="000000" tint="0"/>
      <sz val="14"/>
    </font>
    <font>
      <name val="XO Thames"/>
      <b val="true"/>
      <sz val="14"/>
    </font>
    <font>
      <name val="XO Thames"/>
      <color rgb="000000" tint="0"/>
      <sz val="12"/>
    </font>
  </fonts>
  <fills count="39">
    <fill>
      <patternFill patternType="none"/>
    </fill>
    <fill>
      <patternFill patternType="gray125"/>
    </fill>
    <fill>
      <patternFill patternType="solid">
        <fgColor rgb="9DDA28" tint="0"/>
      </patternFill>
    </fill>
    <fill>
      <patternFill patternType="solid">
        <fgColor rgb="FFFFFF" tint="0"/>
      </patternFill>
    </fill>
    <fill>
      <patternFill patternType="solid">
        <fgColor rgb="9DDA28" tint="0"/>
      </patternFill>
    </fill>
    <fill>
      <patternFill patternType="solid">
        <fgColor rgb="D99694" tint="0"/>
      </patternFill>
    </fill>
    <fill>
      <patternFill patternType="solid">
        <fgColor theme="5" tint="0.40000000000000002"/>
      </patternFill>
    </fill>
    <fill>
      <patternFill patternType="solid">
        <fgColor rgb="9DDA28" tint="0"/>
      </patternFill>
    </fill>
    <fill>
      <patternFill patternType="solid">
        <fgColor rgb="D99694" tint="0"/>
      </patternFill>
    </fill>
    <fill>
      <patternFill patternType="solid">
        <fgColor theme="5" tint="0.40000000000000002"/>
      </patternFill>
    </fill>
    <fill>
      <patternFill patternType="solid">
        <fgColor rgb="9DDA28" tint="0"/>
      </patternFill>
    </fill>
    <fill>
      <patternFill patternType="solid">
        <fgColor theme="7" tint="0"/>
      </patternFill>
    </fill>
    <fill>
      <patternFill patternType="solid">
        <fgColor rgb="D99694" tint="0"/>
      </patternFill>
    </fill>
    <fill>
      <patternFill patternType="solid">
        <fgColor rgb="DDD9C3" tint="0"/>
      </patternFill>
    </fill>
    <fill>
      <patternFill patternType="solid">
        <fgColor rgb="9DDA28" tint="0"/>
      </patternFill>
    </fill>
    <fill>
      <patternFill patternType="solid">
        <fgColor theme="5" tint="0.40000000000000002"/>
      </patternFill>
    </fill>
    <fill>
      <patternFill patternType="solid">
        <fgColor rgb="9DDA28" tint="0"/>
      </patternFill>
    </fill>
    <fill>
      <patternFill patternType="solid">
        <fgColor rgb="9DDA28" tint="0"/>
      </patternFill>
    </fill>
    <fill>
      <patternFill patternType="solid">
        <fgColor rgb="DDD9C3" tint="0"/>
      </patternFill>
    </fill>
    <fill>
      <patternFill patternType="solid">
        <fgColor rgb="9DDA28" tint="0"/>
      </patternFill>
    </fill>
    <fill>
      <patternFill patternType="solid">
        <fgColor rgb="9DDA28" tint="0"/>
      </patternFill>
    </fill>
    <fill>
      <patternFill patternType="solid">
        <fgColor rgb="9DDA28" tint="0"/>
      </patternFill>
    </fill>
    <fill>
      <patternFill patternType="solid">
        <fgColor rgb="9DDA28" tint="0"/>
      </patternFill>
    </fill>
    <fill>
      <patternFill patternType="solid">
        <fgColor theme="5" tint="0.40000000000000002"/>
      </patternFill>
    </fill>
    <fill>
      <patternFill patternType="solid">
        <fgColor rgb="D99694" tint="0"/>
      </patternFill>
    </fill>
    <fill>
      <patternFill patternType="solid">
        <fgColor rgb="DDD9C3" tint="0"/>
      </patternFill>
    </fill>
    <fill>
      <patternFill patternType="solid">
        <fgColor theme="5" tint="0.40000000000000002"/>
      </patternFill>
    </fill>
    <fill>
      <patternFill patternType="solid">
        <fgColor theme="5" tint="0.40000000000000002"/>
      </patternFill>
    </fill>
    <fill>
      <patternFill patternType="solid">
        <fgColor rgb="D99694" tint="0"/>
      </patternFill>
    </fill>
    <fill>
      <patternFill patternType="solid">
        <fgColor rgb="DDD9C3" tint="0"/>
      </patternFill>
    </fill>
    <fill>
      <patternFill patternType="solid">
        <fgColor theme="5" tint="0.40000000000000002"/>
      </patternFill>
    </fill>
    <fill>
      <patternFill patternType="solid">
        <fgColor rgb="9DDA28" tint="0"/>
      </patternFill>
    </fill>
    <fill>
      <patternFill patternType="solid">
        <fgColor rgb="DDD9C3" tint="0"/>
      </patternFill>
    </fill>
    <fill>
      <patternFill patternType="solid">
        <fgColor theme="5" tint="0.59999999999999998"/>
      </patternFill>
    </fill>
    <fill>
      <patternFill patternType="solid">
        <fgColor rgb="E6B8B7" tint="0"/>
      </patternFill>
    </fill>
    <fill>
      <patternFill patternType="solid">
        <fgColor theme="5" tint="0.59999999999999998"/>
      </patternFill>
    </fill>
    <fill>
      <patternFill patternType="solid">
        <fgColor rgb="FFFFFF" tint="0"/>
      </patternFill>
    </fill>
    <fill>
      <patternFill patternType="solid">
        <fgColor theme="5" tint="0.59999999999999998"/>
      </patternFill>
    </fill>
    <fill>
      <patternFill patternType="solid">
        <fgColor theme="5" tint="0.59999999999999998"/>
      </patternFill>
    </fill>
  </fills>
  <borders count="93">
    <border>
      <left style="none"/>
      <right style="none"/>
      <top style="none"/>
      <bottom style="none"/>
      <diagonal style="none"/>
    </border>
    <border>
      <right style="medium">
        <color rgb="000000" tint="0"/>
      </right>
    </border>
    <border>
      <right style="medium">
        <color rgb="000000" tint="0"/>
      </right>
    </border>
    <border>
      <right style="medium">
        <color rgb="000000" tint="0"/>
      </right>
    </border>
    <border>
      <right style="medium">
        <color rgb="000000" tint="0"/>
      </right>
    </border>
    <border>
      <right style="medium">
        <color rgb="000000" tint="0"/>
      </right>
    </border>
    <border>
      <right style="medium">
        <color rgb="000000" tint="0"/>
      </right>
    </border>
    <border>
      <left style="medium">
        <color rgb="000000" tint="0"/>
      </left>
      <right style="medium">
        <color rgb="000000" tint="0"/>
      </right>
    </border>
    <border>
      <left style="medium">
        <color rgb="000000" tint="0"/>
      </left>
    </border>
    <border>
      <right style="dotted">
        <color rgb="000000" tint="0"/>
      </right>
    </border>
    <border>
      <left style="dotted">
        <color rgb="000000" tint="0"/>
      </left>
      <right style="dotted">
        <color rgb="000000" tint="0"/>
      </right>
      <bottom style="thin">
        <color rgb="000000" tint="0"/>
      </bottom>
    </border>
    <border>
      <bottom style="thin">
        <color rgb="000000" tint="0"/>
      </bottom>
    </border>
    <border>
      <bottom style="thin">
        <color rgb="000000" tint="0"/>
      </bottom>
    </border>
    <border>
      <right style="dotted">
        <color rgb="000000" tint="0"/>
      </right>
      <bottom style="thin">
        <color rgb="000000" tint="0"/>
      </bottom>
    </border>
    <border>
      <bottom style="medium">
        <color rgb="000000" tint="0"/>
      </bottom>
    </border>
    <border>
      <right style="medium">
        <color rgb="000000" tint="0"/>
      </right>
      <bottom style="medium">
        <color rgb="000000" tint="0"/>
      </bottom>
    </border>
    <border>
      <left style="medium">
        <color rgb="000000" tint="0"/>
      </left>
      <right style="medium">
        <color rgb="000000" tint="0"/>
      </right>
      <bottom style="medium">
        <color rgb="000000" tint="0"/>
      </bottom>
    </border>
    <border>
      <left style="medium">
        <color rgb="000000" tint="0"/>
      </left>
    </border>
    <border>
      <left style="thin">
        <color rgb="000000" tint="0"/>
      </left>
      <top style="thin">
        <color rgb="000000" tint="0"/>
      </top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medium">
        <color rgb="000000" tint="0"/>
      </top>
    </border>
    <border>
      <right style="medium">
        <color rgb="000000" tint="0"/>
      </right>
      <top style="medium">
        <color rgb="000000" tint="0"/>
      </top>
    </border>
    <border>
      <left style="medium">
        <color rgb="000000" tint="0"/>
      </left>
      <right style="medium">
        <color rgb="000000" tint="0"/>
      </right>
      <top style="medium">
        <color rgb="000000" tint="0"/>
      </top>
    </border>
    <border>
      <left style="thin">
        <color rgb="000000" tint="0"/>
      </left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left style="medium">
        <color rgb="000000" tint="0"/>
      </left>
      <right style="medium">
        <color rgb="000000" tint="0"/>
      </right>
    </border>
    <border diagonalDown="true" diagonalUp="true"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  <diagonal style="none">
        <color rgb="000000" tint="0"/>
      </diagonal>
    </border>
    <border diagonalDown="true" diagonalUp="true"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  <diagonal style="none">
        <color rgb="000000" tint="0"/>
      </diagonal>
    </border>
    <border>
      <bottom style="medium">
        <color rgb="000000" tint="0"/>
      </bottom>
    </border>
    <border>
      <right style="medium">
        <color rgb="000000" tint="0"/>
      </right>
      <bottom style="medium">
        <color rgb="000000" tint="0"/>
      </bottom>
    </border>
    <border>
      <left style="medium">
        <color rgb="000000" tint="0"/>
      </left>
      <right style="medium">
        <color rgb="000000" tint="0"/>
      </right>
      <bottom style="medium">
        <color rgb="000000" tint="0"/>
      </bottom>
    </border>
    <border>
      <left style="medium">
        <color rgb="000000" tint="0"/>
      </left>
    </border>
    <border>
      <left style="medium">
        <color rgb="000000" tint="0"/>
      </left>
      <bottom style="medium">
        <color rgb="000000" tint="0"/>
      </bottom>
    </border>
    <border>
      <bottom style="medium">
        <color rgb="000000" tint="0"/>
      </bottom>
    </border>
    <border>
      <right style="medium">
        <color rgb="000000" tint="0"/>
      </right>
      <bottom style="medium">
        <color rgb="000000" tint="0"/>
      </bottom>
    </border>
    <border>
      <bottom style="medium">
        <color rgb="000000" tint="0"/>
      </bottom>
    </border>
    <border>
      <right style="none">
        <color rgb="000000" tint="0"/>
      </right>
      <bottom style="medium">
        <color rgb="000000" tint="0"/>
      </bottom>
    </border>
    <border>
      <left style="none">
        <color rgb="000000" tint="0"/>
      </left>
      <bottom style="medium">
        <color rgb="000000" tint="0"/>
      </bottom>
    </border>
    <border>
      <left style="medium">
        <color rgb="000000" tint="0"/>
      </left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top style="medium">
        <color rgb="000000" tint="0"/>
      </top>
    </border>
    <border>
      <right style="medium">
        <color rgb="000000" tint="0"/>
      </right>
      <top style="medium">
        <color rgb="000000" tint="0"/>
      </top>
    </border>
    <border>
      <top style="medium">
        <color rgb="000000" tint="0"/>
      </top>
    </border>
    <border>
      <right style="medium">
        <color rgb="000000" tint="0"/>
      </right>
      <top style="medium">
        <color rgb="000000" tint="0"/>
      </top>
    </border>
    <border>
      <top style="medium">
        <color rgb="000000" tint="0"/>
      </top>
    </border>
    <border>
      <right style="medium">
        <color rgb="000000" tint="0"/>
      </right>
      <top style="medium">
        <color rgb="000000" tint="0"/>
      </top>
    </border>
    <border>
      <top style="medium">
        <color rgb="000000" tint="0"/>
      </top>
    </border>
    <border>
      <right style="medium">
        <color rgb="000000" tint="0"/>
      </right>
      <top style="medium">
        <color rgb="000000" tint="0"/>
      </top>
    </border>
    <border>
      <left style="medium">
        <color rgb="000000" tint="0"/>
      </left>
      <right style="medium">
        <color rgb="000000" tint="0"/>
      </right>
      <top style="medium">
        <color rgb="000000" tint="0"/>
      </top>
    </border>
    <border>
      <left style="medium">
        <color rgb="000000" tint="0"/>
      </left>
      <bottom style="medium">
        <color rgb="000000" tint="0"/>
      </bottom>
    </border>
    <border>
      <bottom style="medium">
        <color rgb="000000" tint="0"/>
      </bottom>
    </border>
    <border>
      <right style="medium">
        <color rgb="000000" tint="0"/>
      </right>
      <bottom style="medium">
        <color rgb="000000" tint="0"/>
      </bottom>
    </border>
    <border>
      <left style="medium">
        <color rgb="000000" tint="0"/>
      </left>
      <bottom style="medium">
        <color rgb="000000" tint="0"/>
      </bottom>
    </border>
    <border>
      <bottom style="medium">
        <color rgb="000000" tint="0"/>
      </bottom>
    </border>
    <border>
      <right style="medium">
        <color rgb="000000" tint="0"/>
      </right>
      <bottom style="medium">
        <color rgb="000000" tint="0"/>
      </bottom>
    </border>
    <border>
      <left style="medium">
        <color rgb="000000" tint="0"/>
      </left>
      <bottom style="medium">
        <color rgb="000000" tint="0"/>
      </bottom>
    </border>
    <border>
      <bottom style="medium">
        <color rgb="000000" tint="0"/>
      </bottom>
    </border>
    <border>
      <right style="medium">
        <color rgb="000000" tint="0"/>
      </right>
      <bottom style="medium">
        <color rgb="000000" tint="0"/>
      </bottom>
    </border>
    <border>
      <left style="medium">
        <color rgb="000000" tint="0"/>
      </left>
      <bottom style="medium">
        <color rgb="000000" tint="0"/>
      </bottom>
    </border>
    <border>
      <bottom style="medium">
        <color rgb="000000" tint="0"/>
      </bottom>
    </border>
    <border>
      <right style="medium">
        <color rgb="000000" tint="0"/>
      </right>
      <bottom style="medium">
        <color rgb="000000" tint="0"/>
      </bottom>
    </border>
    <border>
      <bottom style="medium">
        <color rgb="000000" tint="0"/>
      </bottom>
    </border>
    <border>
      <left style="medium">
        <color rgb="000000" tint="0"/>
      </left>
      <right style="dotted">
        <color rgb="000000" tint="0"/>
      </right>
      <top style="dotted">
        <color rgb="000000" tint="0"/>
      </top>
    </border>
    <border>
      <left style="medium">
        <color rgb="000000" tint="0"/>
      </left>
      <right style="dotted">
        <color rgb="000000" tint="0"/>
      </right>
      <bottom style="dotted">
        <color rgb="000000" tint="0"/>
      </bottom>
    </border>
    <border>
      <left style="medium">
        <color rgb="000000" tint="0"/>
      </left>
    </border>
    <border>
      <bottom style="medium">
        <color rgb="000000" tint="0"/>
      </bottom>
    </border>
    <border>
      <right style="medium">
        <color rgb="000000" tint="0"/>
      </right>
      <bottom style="medium">
        <color rgb="000000" tint="0"/>
      </bottom>
    </border>
    <border>
      <right style="medium">
        <color rgb="000000" tint="0"/>
      </right>
      <top style="medium">
        <color rgb="000000" tint="0"/>
      </top>
    </border>
    <border>
      <left style="medium">
        <color rgb="000000" tint="0"/>
      </left>
      <top style="none">
        <color rgb="000000" tint="0"/>
      </top>
      <bottom style="medium">
        <color rgb="000000" tint="0"/>
      </bottom>
    </border>
    <border>
      <bottom style="medium">
        <color rgb="000000" tint="0"/>
      </bottom>
    </border>
    <border>
      <right style="medium">
        <color rgb="000000" tint="0"/>
      </right>
      <bottom style="medium">
        <color rgb="000000" tint="0"/>
      </bottom>
    </border>
    <border>
      <bottom style="medium">
        <color rgb="000000" tint="0"/>
      </bottom>
    </border>
    <border>
      <right style="medium">
        <color rgb="000000" tint="0"/>
      </right>
      <bottom style="medium">
        <color rgb="000000" tint="0"/>
      </bottom>
    </border>
    <border>
      <left style="medium">
        <color rgb="000000" tint="0"/>
      </left>
    </border>
    <border>
      <bottom style="medium">
        <color rgb="000000" tint="0"/>
      </bottom>
    </border>
    <border>
      <right style="medium">
        <color rgb="000000" tint="0"/>
      </right>
      <bottom style="medium">
        <color rgb="000000" tint="0"/>
      </bottom>
    </border>
    <border>
      <bottom style="medium">
        <color rgb="000000" tint="0"/>
      </bottom>
    </border>
    <border>
      <left style="medium">
        <color rgb="000000" tint="0"/>
      </left>
    </border>
    <border>
      <right style="medium">
        <color rgb="000000" tint="0"/>
      </right>
      <bottom style="medium">
        <color rgb="000000" tint="0"/>
      </bottom>
    </border>
    <border>
      <bottom style="thin">
        <color rgb="000000" tint="0"/>
      </bottom>
    </border>
    <border>
      <right style="medium">
        <color rgb="000000" tint="0"/>
      </right>
      <bottom style="thin">
        <color rgb="000000" tint="0"/>
      </bottom>
    </border>
    <border>
      <bottom style="thin">
        <color rgb="000000" tint="0"/>
      </bottom>
    </border>
    <border>
      <right style="medium">
        <color rgb="000000" tint="0"/>
      </right>
      <bottom style="thin">
        <color rgb="000000" tint="0"/>
      </bottom>
    </border>
    <border>
      <right style="medium">
        <color rgb="000000" tint="0"/>
      </right>
      <bottom style="thin">
        <color rgb="000000" tint="0"/>
      </bottom>
    </border>
    <border>
      <left style="medium">
        <color rgb="000000" tint="0"/>
      </left>
      <right style="medium">
        <color rgb="000000" tint="0"/>
      </right>
      <bottom style="thin">
        <color rgb="000000" tint="0"/>
      </bottom>
    </border>
    <border>
      <right style="medium">
        <color rgb="000000" tint="0"/>
      </right>
      <top style="thin">
        <color rgb="000000" tint="0"/>
      </top>
    </border>
    <border>
      <right style="medium">
        <color rgb="000000" tint="0"/>
      </right>
      <top style="thin">
        <color rgb="000000" tint="0"/>
      </top>
    </border>
    <border>
      <left style="medium">
        <color rgb="000000" tint="0"/>
      </left>
      <right style="medium">
        <color rgb="000000" tint="0"/>
      </right>
      <top style="thin">
        <color rgb="000000" tint="0"/>
      </top>
    </border>
    <border>
      <bottom style="thin">
        <color rgb="000000" tint="0"/>
      </bottom>
    </border>
    <border>
      <bottom style="thin">
        <color rgb="000000" tint="0"/>
      </bottom>
    </border>
    <border>
      <left style="medium">
        <color rgb="000000" tint="0"/>
      </left>
      <bottom style="thin">
        <color rgb="000000" tint="0"/>
      </bottom>
    </border>
    <border>
      <bottom style="thin">
        <color rgb="000000" tint="0"/>
      </bottom>
    </border>
  </borders>
  <cellStyleXfs count="1">
    <xf applyBorder="false" applyFill="false" applyFont="false" applyNumberFormat="true" borderId="0" fillId="0" fontId="1" numFmtId="1000" quotePrefix="false"/>
  </cellStyleXfs>
  <cellXfs count="162">
    <xf applyBorder="false" applyFill="false" applyFont="false" applyNumberFormat="true" borderId="0" fillId="0" fontId="1" numFmtId="1000" quotePrefix="false"/>
    <xf applyAlignment="true" applyBorder="true" applyFill="false" applyFont="false" applyNumberFormat="true" borderId="1" fillId="0" fontId="1" numFmtId="1000" quotePrefix="false">
      <alignment horizontal="center"/>
    </xf>
    <xf applyAlignment="true" applyBorder="false" applyFill="false" applyFont="false" applyNumberFormat="true" borderId="0" fillId="0" fontId="1" numFmtId="1000" quotePrefix="false">
      <alignment horizontal="center"/>
    </xf>
    <xf applyAlignment="true" applyBorder="true" applyFill="false" applyFont="false" applyNumberFormat="true" borderId="2" fillId="0" fontId="1" numFmtId="1000" quotePrefix="false">
      <alignment horizontal="center"/>
    </xf>
    <xf applyAlignment="true" applyBorder="true" applyFill="false" applyFont="false" applyNumberFormat="true" borderId="3" fillId="0" fontId="1" numFmtId="1000" quotePrefix="false">
      <alignment horizontal="center"/>
    </xf>
    <xf applyAlignment="true" applyBorder="true" applyFill="false" applyFont="false" applyNumberFormat="true" borderId="4" fillId="0" fontId="1" numFmtId="1000" quotePrefix="false">
      <alignment horizontal="center"/>
    </xf>
    <xf applyAlignment="true" applyBorder="true" applyFill="false" applyFont="false" applyNumberFormat="true" borderId="5" fillId="0" fontId="1" numFmtId="1000" quotePrefix="false">
      <alignment horizontal="center"/>
    </xf>
    <xf applyAlignment="true" applyBorder="true" applyFill="false" applyFont="true" applyNumberFormat="true" borderId="6" fillId="0" fontId="2" numFmtId="1000" quotePrefix="false">
      <alignment horizontal="center"/>
    </xf>
    <xf applyAlignment="true" applyBorder="true" applyFill="false" applyFont="true" applyNumberFormat="true" borderId="7" fillId="0" fontId="2" numFmtId="1000" quotePrefix="false">
      <alignment horizontal="center"/>
    </xf>
    <xf applyBorder="true" applyFill="false" applyFont="false" applyNumberFormat="true" borderId="8" fillId="0" fontId="1" numFmtId="1000" quotePrefix="false"/>
    <xf applyBorder="true" applyFill="false" applyFont="false" applyNumberFormat="true" borderId="9" fillId="0" fontId="1" numFmtId="1000" quotePrefix="false"/>
    <xf applyAlignment="true" applyBorder="true" applyFill="false" applyFont="true" applyNumberFormat="true" borderId="10" fillId="0" fontId="3" numFmtId="1000" quotePrefix="false">
      <alignment horizontal="center"/>
    </xf>
    <xf applyAlignment="true" applyBorder="true" applyFill="false" applyFont="true" applyNumberFormat="true" borderId="11" fillId="0" fontId="3" numFmtId="1000" quotePrefix="false">
      <alignment horizontal="center"/>
    </xf>
    <xf applyAlignment="true" applyBorder="true" applyFill="false" applyFont="true" applyNumberFormat="true" borderId="12" fillId="0" fontId="3" numFmtId="1000" quotePrefix="false">
      <alignment horizontal="center"/>
    </xf>
    <xf applyAlignment="true" applyBorder="true" applyFill="false" applyFont="true" applyNumberFormat="true" borderId="13" fillId="0" fontId="3" numFmtId="1000" quotePrefix="false">
      <alignment horizontal="center"/>
    </xf>
    <xf applyAlignment="true" applyBorder="true" applyFill="false" applyFont="false" applyNumberFormat="true" borderId="14" fillId="0" fontId="1" numFmtId="1000" quotePrefix="false">
      <alignment horizontal="center"/>
    </xf>
    <xf applyAlignment="true" applyBorder="true" applyFill="false" applyFont="false" applyNumberFormat="true" borderId="15" fillId="0" fontId="1" numFmtId="1000" quotePrefix="false">
      <alignment horizontal="center"/>
    </xf>
    <xf applyBorder="true" applyFill="false" applyFont="false" applyNumberFormat="true" borderId="15" fillId="0" fontId="1" numFmtId="1000" quotePrefix="false"/>
    <xf applyBorder="true" applyFill="false" applyFont="false" applyNumberFormat="true" borderId="16" fillId="0" fontId="1" numFmtId="1000" quotePrefix="false"/>
    <xf applyAlignment="true" applyBorder="true" applyFill="false" applyFont="false" applyNumberFormat="true" borderId="17" fillId="0" fontId="1" numFmtId="1000" quotePrefix="false">
      <alignment horizontal="left"/>
    </xf>
    <xf applyBorder="false" applyFill="false" applyFont="true" applyNumberFormat="true" borderId="0" fillId="0" fontId="4" numFmtId="1000" quotePrefix="false"/>
    <xf applyAlignment="true" applyBorder="true" applyFill="false" applyFont="false" applyNumberFormat="true" borderId="18" fillId="0" fontId="1" numFmtId="1000" quotePrefix="false">
      <alignment horizontal="center" vertical="center"/>
    </xf>
    <xf applyAlignment="true" applyBorder="true" applyFill="false" applyFont="false" applyNumberFormat="true" borderId="19" fillId="0" fontId="1" numFmtId="1000" quotePrefix="false">
      <alignment horizontal="center" vertical="center"/>
    </xf>
    <xf applyAlignment="true" applyBorder="true" applyFill="false" applyFont="false" applyNumberFormat="true" borderId="20" fillId="0" fontId="1" numFmtId="1000" quotePrefix="false">
      <alignment horizontal="left"/>
    </xf>
    <xf applyAlignment="true" applyBorder="true" applyFill="true" applyFont="true" applyNumberFormat="true" borderId="21" fillId="2" fontId="5" numFmtId="1000" quotePrefix="false">
      <alignment horizontal="left"/>
    </xf>
    <xf applyAlignment="true" applyBorder="true" applyFill="false" applyFont="false" applyNumberFormat="true" borderId="21" fillId="0" fontId="1" numFmtId="1000" quotePrefix="false">
      <alignment horizontal="left"/>
    </xf>
    <xf applyAlignment="true" applyBorder="true" applyFill="true" applyFont="true" applyNumberFormat="true" borderId="20" fillId="3" fontId="5" numFmtId="1000" quotePrefix="false">
      <alignment horizontal="left"/>
    </xf>
    <xf applyAlignment="true" applyBorder="true" applyFill="false" applyFont="false" applyNumberFormat="true" borderId="21" fillId="0" fontId="1" numFmtId="14" quotePrefix="false">
      <alignment horizontal="left"/>
    </xf>
    <xf applyAlignment="true" applyBorder="true" applyFill="false" applyFont="false" applyNumberFormat="true" borderId="22" fillId="0" fontId="1" numFmtId="14" quotePrefix="false">
      <alignment horizontal="left"/>
    </xf>
    <xf applyAlignment="true" applyBorder="true" applyFill="false" applyFont="false" applyNumberFormat="true" borderId="23" fillId="0" fontId="1" numFmtId="1000" quotePrefix="false">
      <alignment horizontal="center" vertical="center"/>
    </xf>
    <xf applyAlignment="true" applyBorder="true" applyFill="false" applyFont="false" applyNumberFormat="true" borderId="24" fillId="0" fontId="1" numFmtId="1000" quotePrefix="false">
      <alignment horizontal="center" vertical="center"/>
    </xf>
    <xf applyAlignment="true" applyBorder="true" applyFill="false" applyFont="false" applyNumberFormat="true" borderId="25" fillId="0" fontId="1" numFmtId="1000" quotePrefix="false">
      <alignment horizontal="center" vertical="center"/>
    </xf>
    <xf applyAlignment="true" applyBorder="true" applyFill="false" applyFont="false" applyNumberFormat="true" borderId="26" fillId="0" fontId="1" numFmtId="1000" quotePrefix="false">
      <alignment horizontal="center" vertical="center"/>
    </xf>
    <xf applyAlignment="true" applyBorder="false" applyFill="false" applyFont="false" applyNumberFormat="true" borderId="0" fillId="0" fontId="1" numFmtId="1000" quotePrefix="false">
      <alignment horizontal="left"/>
    </xf>
    <xf applyAlignment="true" applyBorder="true" applyFill="false" applyFont="false" applyNumberFormat="true" borderId="6" fillId="0" fontId="1" numFmtId="1000" quotePrefix="false">
      <alignment horizontal="left"/>
    </xf>
    <xf applyAlignment="true" applyBorder="false" applyFill="true" applyFont="true" applyNumberFormat="true" borderId="0" fillId="4" fontId="5" numFmtId="1000" quotePrefix="false">
      <alignment horizontal="left"/>
    </xf>
    <xf applyAlignment="true" applyBorder="true" applyFill="false" applyFont="false" applyNumberFormat="true" borderId="27" fillId="0" fontId="1" numFmtId="1000" quotePrefix="false">
      <alignment horizontal="left"/>
    </xf>
    <xf applyAlignment="true" applyBorder="true" applyFill="false" applyFont="false" applyNumberFormat="true" borderId="19" fillId="0" fontId="1" numFmtId="1000" quotePrefix="false">
      <alignment horizontal="center"/>
    </xf>
    <xf applyAlignment="true" applyBorder="true" applyFill="false" applyFont="false" applyNumberFormat="true" borderId="28" fillId="0" fontId="1" numFmtId="1000" quotePrefix="false">
      <alignment horizontal="center"/>
    </xf>
    <xf applyAlignment="true" applyBorder="false" applyFill="false" applyFont="true" applyNumberFormat="true" borderId="0" fillId="0" fontId="5" numFmtId="1000" quotePrefix="false">
      <alignment horizontal="left"/>
    </xf>
    <xf applyAlignment="true" applyBorder="true" applyFill="false" applyFont="false" applyNumberFormat="true" borderId="29" fillId="0" fontId="1" numFmtId="1001" quotePrefix="false">
      <alignment horizontal="center"/>
    </xf>
    <xf applyAlignment="true" applyBorder="true" applyFill="false" applyFont="false" applyNumberFormat="true" borderId="30" fillId="0" fontId="1" numFmtId="1000" quotePrefix="false">
      <alignment horizontal="left"/>
    </xf>
    <xf applyAlignment="true" applyBorder="true" applyFill="false" applyFont="false" applyNumberFormat="true" borderId="31" fillId="0" fontId="1" numFmtId="1000" quotePrefix="false">
      <alignment horizontal="left"/>
    </xf>
    <xf applyAlignment="true" applyBorder="true" applyFill="false" applyFont="false" applyNumberFormat="true" borderId="32" fillId="0" fontId="1" numFmtId="1000" quotePrefix="false">
      <alignment horizontal="left"/>
    </xf>
    <xf applyAlignment="true" applyBorder="false" applyFill="true" applyFont="true" applyNumberFormat="true" borderId="0" fillId="5" fontId="5" numFmtId="1000" quotePrefix="false">
      <alignment horizontal="left"/>
    </xf>
    <xf applyAlignment="true" applyBorder="true" applyFill="false" applyFont="true" applyNumberFormat="true" borderId="33" fillId="0" fontId="6" numFmtId="1000" quotePrefix="false">
      <alignment horizontal="left"/>
    </xf>
    <xf applyAlignment="true" applyBorder="true" applyFill="false" applyFont="false" applyNumberFormat="true" borderId="34" fillId="0" fontId="1" numFmtId="1000" quotePrefix="false">
      <alignment horizontal="left"/>
    </xf>
    <xf applyAlignment="true" applyBorder="false" applyFill="true" applyFont="true" applyNumberFormat="true" borderId="0" fillId="6" fontId="5" numFmtId="1000" quotePrefix="false">
      <alignment horizontal="left"/>
    </xf>
    <xf applyAlignment="true" applyBorder="true" applyFill="true" applyFont="true" applyNumberFormat="true" borderId="35" fillId="7" fontId="5" numFmtId="1000" quotePrefix="false">
      <alignment horizontal="left"/>
    </xf>
    <xf applyAlignment="true" applyBorder="true" applyFill="true" applyFont="true" applyNumberFormat="true" borderId="30" fillId="8" fontId="5" numFmtId="1000" quotePrefix="false">
      <alignment horizontal="left"/>
    </xf>
    <xf applyAlignment="true" applyBorder="false" applyFill="false" applyFont="true" applyNumberFormat="true" borderId="0" fillId="0" fontId="7" numFmtId="1000" quotePrefix="false">
      <alignment horizontal="left"/>
    </xf>
    <xf applyAlignment="true" applyBorder="true" applyFill="true" applyFont="true" applyNumberFormat="true" borderId="36" fillId="9" fontId="5" numFmtId="1000" quotePrefix="false">
      <alignment horizontal="left"/>
    </xf>
    <xf applyAlignment="true" applyBorder="true" applyFill="false" applyFont="true" applyNumberFormat="true" borderId="37" fillId="0" fontId="7" numFmtId="1000" quotePrefix="false">
      <alignment horizontal="left"/>
    </xf>
    <xf applyBorder="true" applyFill="false" applyFont="true" applyNumberFormat="true" borderId="8" fillId="0" fontId="8" numFmtId="1000" quotePrefix="false"/>
    <xf applyAlignment="true" applyBorder="true" applyFill="false" applyFont="false" applyNumberFormat="true" borderId="38" fillId="0" fontId="1" numFmtId="1000" quotePrefix="false">
      <alignment horizontal="left"/>
    </xf>
    <xf applyAlignment="true" applyBorder="true" applyFill="false" applyFont="false" applyNumberFormat="true" borderId="39" fillId="0" fontId="1" numFmtId="1000" quotePrefix="false">
      <alignment horizontal="left"/>
    </xf>
    <xf applyAlignment="true" applyBorder="true" applyFill="true" applyFont="true" applyNumberFormat="true" borderId="6" fillId="10" fontId="5" numFmtId="1000" quotePrefix="false">
      <alignment horizontal="left"/>
    </xf>
    <xf applyAlignment="true" applyBorder="true" applyFill="false" applyFont="true" applyNumberFormat="true" borderId="6" fillId="0" fontId="5" numFmtId="1000" quotePrefix="false">
      <alignment horizontal="left"/>
    </xf>
    <xf applyAlignment="true" applyBorder="true" applyFill="false" applyFont="true" applyNumberFormat="true" borderId="40" fillId="0" fontId="9" numFmtId="1000" quotePrefix="false">
      <alignment horizontal="center" vertical="center"/>
    </xf>
    <xf applyAlignment="true" applyBorder="true" applyFill="false" applyFont="false" applyNumberFormat="true" borderId="40" fillId="0" fontId="1" numFmtId="1000" quotePrefix="false">
      <alignment horizontal="left" wrapText="true"/>
    </xf>
    <xf applyAlignment="true" applyBorder="true" applyFill="false" applyFont="false" applyNumberFormat="true" borderId="41" fillId="0" fontId="1" numFmtId="1000" quotePrefix="false">
      <alignment horizontal="left" wrapText="true"/>
    </xf>
    <xf applyAlignment="true" applyBorder="true" applyFill="false" applyFont="false" applyNumberFormat="true" borderId="42" fillId="0" fontId="1" numFmtId="1000" quotePrefix="false">
      <alignment horizontal="left" wrapText="true"/>
    </xf>
    <xf applyAlignment="true" applyBorder="true" applyFill="false" applyFont="false" applyNumberFormat="true" borderId="40" fillId="0" fontId="1" numFmtId="1000" quotePrefix="false">
      <alignment horizontal="center" vertical="center"/>
    </xf>
    <xf applyAlignment="true" applyBorder="true" applyFill="false" applyFont="false" applyNumberFormat="true" borderId="43" fillId="0" fontId="1" numFmtId="1000" quotePrefix="false">
      <alignment horizontal="center" vertical="center"/>
    </xf>
    <xf applyAlignment="true" applyBorder="true" applyFill="false" applyFont="false" applyNumberFormat="true" borderId="44" fillId="0" fontId="1" numFmtId="1000" quotePrefix="false">
      <alignment horizontal="center" vertical="center"/>
    </xf>
    <xf applyAlignment="true" applyBorder="true" applyFill="false" applyFont="false" applyNumberFormat="true" borderId="45" fillId="0" fontId="1" numFmtId="1000" quotePrefix="false">
      <alignment horizontal="center" vertical="center"/>
    </xf>
    <xf applyAlignment="true" applyBorder="true" applyFill="false" applyFont="false" applyNumberFormat="true" borderId="46" fillId="0" fontId="1" numFmtId="1000" quotePrefix="false">
      <alignment horizontal="center" vertical="center"/>
    </xf>
    <xf applyAlignment="true" applyBorder="true" applyFill="false" applyFont="false" applyNumberFormat="true" borderId="47" fillId="0" fontId="1" numFmtId="1000" quotePrefix="false">
      <alignment horizontal="center" vertical="center"/>
    </xf>
    <xf applyAlignment="true" applyBorder="true" applyFill="false" applyFont="false" applyNumberFormat="true" borderId="48" fillId="0" fontId="1" numFmtId="1000" quotePrefix="false">
      <alignment horizontal="center" vertical="center"/>
    </xf>
    <xf applyAlignment="true" applyBorder="true" applyFill="false" applyFont="false" applyNumberFormat="true" borderId="49" fillId="0" fontId="1" numFmtId="1000" quotePrefix="false">
      <alignment horizontal="left"/>
    </xf>
    <xf applyAlignment="true" applyBorder="true" applyFill="false" applyFont="false" applyNumberFormat="true" borderId="50" fillId="0" fontId="1" numFmtId="1000" quotePrefix="false">
      <alignment horizontal="left" wrapText="true"/>
    </xf>
    <xf applyAlignment="true" applyBorder="true" applyFill="false" applyFont="false" applyNumberFormat="true" borderId="51" fillId="0" fontId="1" numFmtId="1000" quotePrefix="false">
      <alignment horizontal="left" wrapText="true"/>
    </xf>
    <xf applyAlignment="true" applyBorder="true" applyFill="false" applyFont="false" applyNumberFormat="true" borderId="52" fillId="0" fontId="1" numFmtId="1000" quotePrefix="false">
      <alignment horizontal="left" wrapText="true"/>
    </xf>
    <xf applyAlignment="true" applyBorder="true" applyFill="false" applyFont="false" applyNumberFormat="true" borderId="53" fillId="0" fontId="1" numFmtId="1000" quotePrefix="false">
      <alignment horizontal="center" vertical="center"/>
    </xf>
    <xf applyAlignment="true" applyBorder="true" applyFill="false" applyFont="false" applyNumberFormat="true" borderId="54" fillId="0" fontId="1" numFmtId="1000" quotePrefix="false">
      <alignment horizontal="center" vertical="center"/>
    </xf>
    <xf applyAlignment="true" applyBorder="true" applyFill="false" applyFont="false" applyNumberFormat="true" borderId="55" fillId="0" fontId="1" numFmtId="1000" quotePrefix="false">
      <alignment horizontal="center" vertical="center"/>
    </xf>
    <xf applyAlignment="true" applyBorder="true" applyFill="false" applyFont="false" applyNumberFormat="true" borderId="56" fillId="0" fontId="1" numFmtId="1000" quotePrefix="false">
      <alignment horizontal="center" vertical="center"/>
    </xf>
    <xf applyAlignment="true" applyBorder="true" applyFill="false" applyFont="false" applyNumberFormat="true" borderId="57" fillId="0" fontId="1" numFmtId="1000" quotePrefix="false">
      <alignment horizontal="center" vertical="center"/>
    </xf>
    <xf applyAlignment="true" applyBorder="true" applyFill="false" applyFont="false" applyNumberFormat="true" borderId="58" fillId="0" fontId="1" numFmtId="1000" quotePrefix="false">
      <alignment horizontal="center" vertical="center"/>
    </xf>
    <xf applyAlignment="true" applyBorder="true" applyFill="false" applyFont="false" applyNumberFormat="true" borderId="59" fillId="0" fontId="1" numFmtId="1000" quotePrefix="false">
      <alignment horizontal="center" vertical="center"/>
    </xf>
    <xf applyAlignment="true" applyBorder="true" applyFill="false" applyFont="false" applyNumberFormat="true" borderId="60" fillId="0" fontId="1" numFmtId="1000" quotePrefix="false">
      <alignment horizontal="center" vertical="center"/>
    </xf>
    <xf applyAlignment="true" applyBorder="true" applyFill="false" applyFont="false" applyNumberFormat="true" borderId="61" fillId="0" fontId="1" numFmtId="1000" quotePrefix="false">
      <alignment horizontal="center" vertical="center"/>
    </xf>
    <xf applyBorder="false" applyFill="true" applyFont="false" applyNumberFormat="true" borderId="0" fillId="11" fontId="1" numFmtId="1000" quotePrefix="false"/>
    <xf applyAlignment="true" applyBorder="false" applyFill="true" applyFont="false" applyNumberFormat="true" borderId="0" fillId="11" fontId="1" numFmtId="1000" quotePrefix="false">
      <alignment horizontal="left"/>
    </xf>
    <xf applyAlignment="true" applyBorder="true" applyFill="true" applyFont="false" applyNumberFormat="true" borderId="21" fillId="11" fontId="1" numFmtId="1000" quotePrefix="false">
      <alignment horizontal="left"/>
    </xf>
    <xf applyAlignment="true" applyBorder="true" applyFill="true" applyFont="false" applyNumberFormat="true" borderId="49" fillId="11" fontId="1" numFmtId="1000" quotePrefix="false">
      <alignment horizontal="left"/>
    </xf>
    <xf applyAlignment="true" applyBorder="true" applyFill="true" applyFont="true" applyNumberFormat="true" borderId="6" fillId="12" fontId="5" numFmtId="1000" quotePrefix="false">
      <alignment horizontal="left"/>
    </xf>
    <xf applyBorder="false" applyFill="true" applyFont="false" applyNumberFormat="true" borderId="0" fillId="13" fontId="1" numFmtId="1000" quotePrefix="false"/>
    <xf applyAlignment="true" applyBorder="false" applyFill="true" applyFont="false" applyNumberFormat="true" borderId="0" fillId="13" fontId="1" numFmtId="1000" quotePrefix="false">
      <alignment horizontal="left"/>
    </xf>
    <xf applyAlignment="true" applyBorder="true" applyFill="true" applyFont="false" applyNumberFormat="true" borderId="6" fillId="13" fontId="1" numFmtId="1000" quotePrefix="false">
      <alignment horizontal="left"/>
    </xf>
    <xf applyAlignment="true" applyBorder="false" applyFill="true" applyFont="true" applyNumberFormat="true" borderId="0" fillId="13" fontId="5" numFmtId="1000" quotePrefix="false">
      <alignment horizontal="left"/>
    </xf>
    <xf applyAlignment="true" applyBorder="true" applyFill="true" applyFont="false" applyNumberFormat="true" borderId="27" fillId="13" fontId="1" numFmtId="1000" quotePrefix="false">
      <alignment horizontal="left"/>
    </xf>
    <xf applyBorder="false" applyFill="true" applyFont="true" applyNumberFormat="true" borderId="0" fillId="13" fontId="10" numFmtId="1000" quotePrefix="false"/>
    <xf applyAlignment="true" applyBorder="true" applyFill="true" applyFont="true" applyNumberFormat="true" borderId="6" fillId="14" fontId="11" numFmtId="1000" quotePrefix="false">
      <alignment horizontal="left"/>
    </xf>
    <xf applyAlignment="true" applyBorder="true" applyFill="true" applyFont="true" applyNumberFormat="true" borderId="62" fillId="15" fontId="5" numFmtId="1000" quotePrefix="false">
      <alignment horizontal="left"/>
    </xf>
    <xf applyAlignment="true" applyBorder="false" applyFill="false" applyFont="false" applyNumberFormat="true" borderId="0" fillId="0" fontId="1" numFmtId="1000" quotePrefix="false">
      <alignment wrapText="true"/>
    </xf>
    <xf applyAlignment="true" applyBorder="true" applyFill="true" applyFont="true" applyNumberFormat="true" borderId="63" fillId="16" fontId="11" numFmtId="1000" quotePrefix="false">
      <alignment horizontal="left"/>
    </xf>
    <xf applyAlignment="true" applyBorder="false" applyFill="true" applyFont="false" applyNumberFormat="true" borderId="0" fillId="17" fontId="1" numFmtId="1000" quotePrefix="false">
      <alignment horizontal="left"/>
    </xf>
    <xf applyAlignment="true" applyBorder="true" applyFill="true" applyFont="false" applyNumberFormat="true" borderId="6" fillId="17" fontId="1" numFmtId="1000" quotePrefix="false">
      <alignment horizontal="left"/>
    </xf>
    <xf applyAlignment="true" applyBorder="false" applyFill="true" applyFont="false" applyNumberFormat="true" borderId="0" fillId="18" fontId="1" numFmtId="1000" quotePrefix="false">
      <alignment wrapText="true"/>
    </xf>
    <xf applyAlignment="true" applyBorder="true" applyFill="true" applyFont="true" applyNumberFormat="true" borderId="64" fillId="19" fontId="12" numFmtId="1000" quotePrefix="false">
      <alignment horizontal="left"/>
    </xf>
    <xf applyAlignment="true" applyBorder="true" applyFill="true" applyFont="true" applyNumberFormat="true" borderId="6" fillId="20" fontId="12" numFmtId="1000" quotePrefix="false">
      <alignment horizontal="left"/>
    </xf>
    <xf applyAlignment="true" applyBorder="false" applyFill="true" applyFont="true" applyNumberFormat="true" borderId="0" fillId="21" fontId="12" numFmtId="1000" quotePrefix="false">
      <alignment horizontal="left"/>
    </xf>
    <xf applyAlignment="true" applyBorder="true" applyFill="true" applyFont="true" applyNumberFormat="true" borderId="65" fillId="21" fontId="12" numFmtId="1000" quotePrefix="false">
      <alignment horizontal="left"/>
    </xf>
    <xf applyAlignment="true" applyBorder="false" applyFill="true" applyFont="true" applyNumberFormat="true" borderId="0" fillId="22" fontId="13" numFmtId="1000" quotePrefix="false">
      <alignment horizontal="left"/>
    </xf>
    <xf applyAlignment="true" applyBorder="true" applyFill="true" applyFont="true" applyNumberFormat="true" borderId="6" fillId="22" fontId="13" numFmtId="1000" quotePrefix="false">
      <alignment horizontal="left"/>
    </xf>
    <xf applyAlignment="true" applyBorder="false" applyFill="false" applyFont="true" applyNumberFormat="true" borderId="0" fillId="0" fontId="13" numFmtId="1000" quotePrefix="false">
      <alignment horizontal="left"/>
    </xf>
    <xf applyAlignment="true" applyBorder="true" applyFill="false" applyFont="true" applyNumberFormat="true" borderId="6" fillId="0" fontId="13" numFmtId="1000" quotePrefix="false">
      <alignment horizontal="left"/>
    </xf>
    <xf applyAlignment="true" applyBorder="false" applyFill="true" applyFont="true" applyNumberFormat="true" borderId="0" fillId="23" fontId="13" numFmtId="1000" quotePrefix="false">
      <alignment horizontal="left"/>
    </xf>
    <xf applyAlignment="true" applyBorder="true" applyFill="true" applyFont="true" applyNumberFormat="true" borderId="6" fillId="23" fontId="13" numFmtId="1000" quotePrefix="false">
      <alignment horizontal="left"/>
    </xf>
    <xf applyAlignment="true" applyBorder="true" applyFill="false" applyFont="true" applyNumberFormat="true" borderId="66" fillId="0" fontId="13" numFmtId="1000" quotePrefix="false">
      <alignment horizontal="left"/>
    </xf>
    <xf applyAlignment="true" applyBorder="true" applyFill="false" applyFont="true" applyNumberFormat="true" borderId="67" fillId="0" fontId="13" numFmtId="1000" quotePrefix="false">
      <alignment horizontal="left"/>
    </xf>
    <xf applyAlignment="true" applyBorder="true" applyFill="true" applyFont="false" applyNumberFormat="true" borderId="30" fillId="24" fontId="1" numFmtId="1000" quotePrefix="false">
      <alignment horizontal="left"/>
    </xf>
    <xf applyAlignment="true" applyBorder="true" applyFill="true" applyFont="false" applyNumberFormat="true" borderId="31" fillId="24" fontId="1" numFmtId="1000" quotePrefix="false">
      <alignment horizontal="left"/>
    </xf>
    <xf applyAlignment="true" applyBorder="true" applyFill="false" applyFont="true" applyNumberFormat="true" borderId="68" fillId="0" fontId="13" numFmtId="1000" quotePrefix="false">
      <alignment horizontal="left"/>
    </xf>
    <xf applyAlignment="true" applyBorder="false" applyFill="true" applyFont="true" applyNumberFormat="true" borderId="0" fillId="25" fontId="13" numFmtId="1000" quotePrefix="false">
      <alignment horizontal="left"/>
    </xf>
    <xf applyAlignment="true" applyBorder="true" applyFill="true" applyFont="true" applyNumberFormat="true" borderId="6" fillId="26" fontId="5" numFmtId="1000" quotePrefix="false">
      <alignment horizontal="left"/>
    </xf>
    <xf applyAlignment="true" applyBorder="false" applyFill="true" applyFont="true" applyNumberFormat="true" borderId="0" fillId="27" fontId="7" numFmtId="1000" quotePrefix="false">
      <alignment horizontal="left"/>
    </xf>
    <xf applyAlignment="true" applyBorder="false" applyFill="true" applyFont="false" applyNumberFormat="true" borderId="0" fillId="28" fontId="1" numFmtId="1000" quotePrefix="false">
      <alignment horizontal="left"/>
    </xf>
    <xf applyAlignment="true" applyBorder="true" applyFill="true" applyFont="false" applyNumberFormat="true" borderId="6" fillId="28" fontId="1" numFmtId="1000" quotePrefix="false">
      <alignment horizontal="left"/>
    </xf>
    <xf applyAlignment="true" applyBorder="true" applyFill="false" applyFont="false" applyNumberFormat="true" borderId="69" fillId="0" fontId="1" numFmtId="1000" quotePrefix="false">
      <alignment horizontal="left"/>
    </xf>
    <xf applyAlignment="true" applyBorder="false" applyFill="false" applyFont="true" applyNumberFormat="true" borderId="0" fillId="0" fontId="11" numFmtId="1000" quotePrefix="false">
      <alignment horizontal="left"/>
    </xf>
    <xf applyAlignment="true" applyBorder="true" applyFill="true" applyFont="true" applyNumberFormat="true" borderId="70" fillId="21" fontId="12" numFmtId="1000" quotePrefix="false">
      <alignment horizontal="left"/>
    </xf>
    <xf applyAlignment="true" applyBorder="true" applyFill="true" applyFont="false" applyNumberFormat="true" borderId="70" fillId="17" fontId="1" numFmtId="1000" quotePrefix="false">
      <alignment horizontal="left"/>
    </xf>
    <xf applyAlignment="true" applyBorder="true" applyFill="true" applyFont="false" applyNumberFormat="true" borderId="71" fillId="17" fontId="1" numFmtId="1000" quotePrefix="false">
      <alignment horizontal="left"/>
    </xf>
    <xf applyAlignment="true" applyBorder="true" applyFill="true" applyFont="true" applyNumberFormat="true" borderId="72" fillId="23" fontId="13" numFmtId="1000" quotePrefix="false">
      <alignment horizontal="left"/>
    </xf>
    <xf applyAlignment="true" applyBorder="true" applyFill="true" applyFont="true" applyNumberFormat="true" borderId="73" fillId="23" fontId="13" numFmtId="1000" quotePrefix="false">
      <alignment horizontal="left"/>
    </xf>
    <xf applyBorder="true" applyFill="true" applyFont="false" applyNumberFormat="true" borderId="74" fillId="13" fontId="1" numFmtId="1000" quotePrefix="false"/>
    <xf applyAlignment="true" applyBorder="true" applyFill="true" applyFont="true" applyNumberFormat="true" borderId="68" fillId="29" fontId="13" numFmtId="1000" quotePrefix="false">
      <alignment horizontal="left"/>
    </xf>
    <xf applyAlignment="true" applyBorder="true" applyFill="true" applyFont="false" applyNumberFormat="true" borderId="21" fillId="29" fontId="1" numFmtId="1000" quotePrefix="false">
      <alignment horizontal="left"/>
    </xf>
    <xf applyAlignment="true" applyBorder="true" applyFill="true" applyFont="false" applyNumberFormat="true" borderId="21" fillId="29" fontId="1" numFmtId="14" quotePrefix="false">
      <alignment horizontal="left"/>
    </xf>
    <xf applyAlignment="true" applyBorder="true" applyFill="true" applyFont="false" applyNumberFormat="true" borderId="49" fillId="29" fontId="1" numFmtId="1000" quotePrefix="false">
      <alignment horizontal="left"/>
    </xf>
    <xf applyAlignment="true" applyBorder="false" applyFill="true" applyFont="true" applyNumberFormat="true" borderId="0" fillId="28" fontId="7" numFmtId="1000" quotePrefix="false">
      <alignment horizontal="left"/>
    </xf>
    <xf applyAlignment="true" applyBorder="true" applyFill="true" applyFont="true" applyNumberFormat="true" borderId="6" fillId="28" fontId="7" numFmtId="1000" quotePrefix="false">
      <alignment horizontal="left"/>
    </xf>
    <xf applyAlignment="true" applyBorder="true" applyFill="true" applyFont="false" applyNumberFormat="true" borderId="75" fillId="30" fontId="1" numFmtId="1000" quotePrefix="false">
      <alignment horizontal="left"/>
    </xf>
    <xf applyAlignment="true" applyBorder="true" applyFill="true" applyFont="false" applyNumberFormat="true" borderId="76" fillId="30" fontId="1" numFmtId="1000" quotePrefix="false">
      <alignment horizontal="left"/>
    </xf>
    <xf applyAlignment="true" applyBorder="false" applyFill="true" applyFont="true" applyNumberFormat="true" borderId="0" fillId="31" fontId="11" numFmtId="1000" quotePrefix="false">
      <alignment horizontal="left"/>
    </xf>
    <xf applyAlignment="true" applyBorder="true" applyFill="true" applyFont="true" applyNumberFormat="true" borderId="6" fillId="32" fontId="13" numFmtId="1000" quotePrefix="false">
      <alignment horizontal="left"/>
    </xf>
    <xf applyAlignment="true" applyBorder="true" applyFill="true" applyFont="true" applyNumberFormat="true" borderId="77" fillId="33" fontId="12" numFmtId="1000" quotePrefix="false">
      <alignment horizontal="left"/>
    </xf>
    <xf applyAlignment="true" applyBorder="true" applyFill="true" applyFont="false" applyNumberFormat="true" borderId="75" fillId="33" fontId="1" numFmtId="1000" quotePrefix="false">
      <alignment horizontal="left"/>
    </xf>
    <xf applyAlignment="true" applyBorder="true" applyFill="true" applyFont="false" applyNumberFormat="true" borderId="76" fillId="33" fontId="1" numFmtId="1000" quotePrefix="false">
      <alignment horizontal="left"/>
    </xf>
    <xf applyAlignment="true" applyBorder="false" applyFill="true" applyFont="true" applyNumberFormat="true" borderId="0" fillId="34" fontId="12" numFmtId="1000" quotePrefix="false">
      <alignment horizontal="left"/>
    </xf>
    <xf applyAlignment="true" applyBorder="false" applyFill="true" applyFont="true" applyNumberFormat="true" borderId="0" fillId="35" fontId="12" numFmtId="1000" quotePrefix="false">
      <alignment horizontal="left"/>
    </xf>
    <xf applyAlignment="true" applyBorder="false" applyFill="true" applyFont="false" applyNumberFormat="true" borderId="0" fillId="36" fontId="1" numFmtId="1000" quotePrefix="false">
      <alignment horizontal="left"/>
    </xf>
    <xf applyAlignment="true" applyBorder="true" applyFill="false" applyFont="true" applyNumberFormat="true" borderId="78" fillId="0" fontId="13" numFmtId="1000" quotePrefix="false">
      <alignment horizontal="left"/>
    </xf>
    <xf applyAlignment="true" applyBorder="true" applyFill="true" applyFont="true" applyNumberFormat="true" borderId="79" fillId="14" fontId="11" numFmtId="1000" quotePrefix="false">
      <alignment horizontal="left"/>
    </xf>
    <xf applyAlignment="true" applyBorder="true" applyFill="true" applyFont="true" applyNumberFormat="true" borderId="65" fillId="37" fontId="12" numFmtId="1000" quotePrefix="false">
      <alignment horizontal="left"/>
    </xf>
    <xf applyAlignment="true" applyBorder="true" applyFill="false" applyFont="true" applyNumberFormat="true" borderId="80" fillId="0" fontId="13" numFmtId="1000" quotePrefix="false">
      <alignment horizontal="left"/>
    </xf>
    <xf applyAlignment="true" applyBorder="true" applyFill="false" applyFont="true" applyNumberFormat="true" borderId="81" fillId="0" fontId="13" numFmtId="1000" quotePrefix="false">
      <alignment horizontal="left"/>
    </xf>
    <xf applyAlignment="true" applyBorder="true" applyFill="false" applyFont="false" applyNumberFormat="true" borderId="82" fillId="0" fontId="1" numFmtId="1000" quotePrefix="false">
      <alignment horizontal="left"/>
    </xf>
    <xf applyAlignment="true" applyBorder="true" applyFill="false" applyFont="false" applyNumberFormat="true" borderId="83" fillId="0" fontId="1" numFmtId="1000" quotePrefix="false">
      <alignment horizontal="left"/>
    </xf>
    <xf applyAlignment="true" applyBorder="true" applyFill="true" applyFont="true" applyNumberFormat="true" borderId="84" fillId="38" fontId="12" numFmtId="1000" quotePrefix="false">
      <alignment horizontal="left"/>
    </xf>
    <xf applyAlignment="true" applyBorder="true" applyFill="false" applyFont="false" applyNumberFormat="true" borderId="85" fillId="0" fontId="1" numFmtId="1000" quotePrefix="false">
      <alignment horizontal="left"/>
    </xf>
    <xf applyAlignment="true" applyBorder="true" applyFill="false" applyFont="true" applyNumberFormat="true" borderId="86" fillId="0" fontId="13" numFmtId="1000" quotePrefix="false">
      <alignment horizontal="left"/>
    </xf>
    <xf applyAlignment="true" applyBorder="true" applyFill="false" applyFont="false" applyNumberFormat="true" borderId="87" fillId="0" fontId="1" numFmtId="1000" quotePrefix="false">
      <alignment horizontal="left"/>
    </xf>
    <xf applyAlignment="true" applyBorder="true" applyFill="false" applyFont="false" applyNumberFormat="true" borderId="87" fillId="0" fontId="1" numFmtId="14" quotePrefix="false">
      <alignment horizontal="left"/>
    </xf>
    <xf applyAlignment="true" applyBorder="true" applyFill="false" applyFont="false" applyNumberFormat="true" borderId="88" fillId="0" fontId="1" numFmtId="1000" quotePrefix="false">
      <alignment horizontal="left"/>
    </xf>
    <xf applyAlignment="true" applyBorder="true" applyFill="true" applyFont="true" applyNumberFormat="true" borderId="89" fillId="21" fontId="12" numFmtId="1000" quotePrefix="false">
      <alignment horizontal="left"/>
    </xf>
    <xf applyAlignment="true" applyBorder="true" applyFill="true" applyFont="true" applyNumberFormat="true" borderId="90" fillId="35" fontId="12" numFmtId="1000" quotePrefix="false">
      <alignment horizontal="left"/>
    </xf>
    <xf applyAlignment="true" applyBorder="true" applyFill="false" applyFont="false" applyNumberFormat="true" borderId="91" fillId="0" fontId="1" numFmtId="1000" quotePrefix="false">
      <alignment horizontal="left"/>
    </xf>
    <xf applyAlignment="true" applyBorder="true" applyFill="false" applyFont="true" applyNumberFormat="true" borderId="92" fillId="0" fontId="12" numFmtId="1000" quotePrefix="false">
      <alignment horizontal="left"/>
    </xf>
    <xf applyAlignment="true" applyBorder="false" applyFill="false" applyFont="false" applyNumberFormat="true" borderId="0" fillId="0" fontId="1" numFmtId="1002" quotePrefix="false">
      <alignment horizontal="left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1" Target="worksheets/sheet1.xml" Type="http://schemas.openxmlformats.org/officeDocument/2006/relationships/worksheet"/>
  <Relationship Id="rId3" Target="styles.xml" Type="http://schemas.openxmlformats.org/officeDocument/2006/relationships/styles"/>
  <Relationship Id="rId2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W292"/>
  <sheetViews>
    <sheetView showZeros="true" workbookViewId="0">
      <pane activePane="bottomLeft" state="frozen" topLeftCell="A3" xSplit="0" ySplit="2"/>
    </sheetView>
  </sheetViews>
  <sheetFormatPr baseColWidth="8" customHeight="false" defaultColWidth="10.788470377394527" defaultRowHeight="15" zeroHeight="false"/>
  <cols>
    <col bestFit="true" customWidth="true" max="12" min="1" outlineLevel="0" style="0" width="10.788470377394527"/>
    <col customWidth="true" max="13" min="13" outlineLevel="0" style="0" width="19.281588443378471"/>
    <col bestFit="true" customWidth="true" max="14" min="14" outlineLevel="0" style="0" width="10.788470377394527"/>
    <col customWidth="true" max="15" min="15" outlineLevel="0" style="0" width="19.898901553233131"/>
    <col bestFit="true" customWidth="true" max="18" min="16" outlineLevel="0" style="0" width="10.788470377394527"/>
    <col customWidth="true" max="22" min="19" outlineLevel="0" style="0" width="7.982283564135213"/>
    <col bestFit="true" customWidth="true" max="16384" min="23" outlineLevel="0" style="0" width="10.788470377394527"/>
  </cols>
  <sheetData>
    <row outlineLevel="0" r="1">
      <c r="A1" s="1" t="s">
        <v>0</v>
      </c>
      <c r="B1" s="2" t="s"/>
      <c r="C1" s="3" t="s"/>
      <c r="D1" s="1" t="s">
        <v>1</v>
      </c>
      <c r="E1" s="2" t="s"/>
      <c r="F1" s="4" t="s"/>
      <c r="G1" s="1" t="s">
        <v>2</v>
      </c>
      <c r="H1" s="2" t="s"/>
      <c r="I1" s="5" t="s"/>
      <c r="J1" s="1" t="s">
        <v>3</v>
      </c>
      <c r="K1" s="2" t="s"/>
      <c r="L1" s="6" t="s"/>
      <c r="M1" s="7" t="s">
        <v>4</v>
      </c>
      <c r="N1" s="8" t="s">
        <v>5</v>
      </c>
      <c r="O1" s="9" t="s">
        <v>6</v>
      </c>
      <c r="P1" s="0" t="n">
        <v>50000</v>
      </c>
      <c r="R1" s="10" t="n"/>
      <c r="S1" s="11" t="s">
        <v>7</v>
      </c>
      <c r="T1" s="12" t="s"/>
      <c r="U1" s="13" t="s"/>
      <c r="V1" s="14" t="s"/>
    </row>
    <row outlineLevel="0" r="2">
      <c r="A2" s="15" t="s">
        <v>8</v>
      </c>
      <c r="B2" s="15" t="s">
        <v>9</v>
      </c>
      <c r="C2" s="16" t="s">
        <v>10</v>
      </c>
      <c r="D2" s="15" t="s">
        <v>8</v>
      </c>
      <c r="E2" s="15" t="s">
        <v>9</v>
      </c>
      <c r="F2" s="16" t="s">
        <v>10</v>
      </c>
      <c r="G2" s="15" t="s">
        <v>8</v>
      </c>
      <c r="H2" s="15" t="s">
        <v>9</v>
      </c>
      <c r="I2" s="16" t="s">
        <v>10</v>
      </c>
      <c r="J2" s="15" t="s">
        <v>8</v>
      </c>
      <c r="K2" s="15" t="s">
        <v>9</v>
      </c>
      <c r="L2" s="16" t="s">
        <v>10</v>
      </c>
      <c r="M2" s="17" t="n"/>
      <c r="N2" s="18" t="n"/>
      <c r="O2" s="19" t="s">
        <v>11</v>
      </c>
      <c r="P2" s="0" t="n">
        <f aca="false" ca="false" dt2D="false" dtr="false" t="normal">58784.64+SUM(N81:N272)</f>
        <v>55738.559999999998</v>
      </c>
      <c r="Q2" s="2" t="s">
        <v>12</v>
      </c>
      <c r="R2" s="20" t="n">
        <f aca="false" ca="false" dt2D="false" dtr="false" t="normal">(P2-P1)/P1*100</f>
        <v>11.477119999999994</v>
      </c>
      <c r="S2" s="21" t="s">
        <v>13</v>
      </c>
      <c r="T2" s="22" t="s">
        <v>14</v>
      </c>
      <c r="U2" s="22" t="s">
        <v>15</v>
      </c>
      <c r="V2" s="22" t="s">
        <v>16</v>
      </c>
    </row>
    <row outlineLevel="0" r="3">
      <c r="A3" s="23" t="n"/>
      <c r="B3" s="23" t="n"/>
      <c r="C3" s="24" t="s">
        <v>17</v>
      </c>
      <c r="D3" s="23" t="n"/>
      <c r="E3" s="23" t="n"/>
      <c r="F3" s="25" t="n"/>
      <c r="G3" s="23" t="n"/>
      <c r="H3" s="23" t="n"/>
      <c r="I3" s="25" t="n"/>
      <c r="J3" s="26" t="n"/>
      <c r="K3" s="23" t="n"/>
      <c r="L3" s="25" t="n"/>
      <c r="M3" s="27" t="n">
        <v>46062</v>
      </c>
      <c r="N3" s="28" t="n"/>
      <c r="O3" s="9" t="n"/>
      <c r="S3" s="29" t="s"/>
      <c r="T3" s="30" t="s"/>
      <c r="U3" s="31" t="s"/>
      <c r="V3" s="32" t="s"/>
    </row>
    <row outlineLevel="0" r="4">
      <c r="A4" s="33" t="s">
        <v>18</v>
      </c>
      <c r="B4" s="33" t="n"/>
      <c r="C4" s="34" t="n"/>
      <c r="D4" s="33" t="n"/>
      <c r="E4" s="33" t="n"/>
      <c r="F4" s="34" t="n"/>
      <c r="G4" s="33" t="n"/>
      <c r="H4" s="33" t="n"/>
      <c r="I4" s="34" t="n"/>
      <c r="J4" s="35" t="s">
        <v>19</v>
      </c>
      <c r="K4" s="33" t="n"/>
      <c r="L4" s="34" t="n"/>
      <c r="M4" s="34" t="n"/>
      <c r="N4" s="36" t="n"/>
      <c r="O4" s="9" t="n"/>
      <c r="Q4" s="0" t="n"/>
      <c r="R4" s="0" t="s">
        <v>20</v>
      </c>
      <c r="S4" s="37" t="n">
        <v>16</v>
      </c>
      <c r="T4" s="37" t="n">
        <v>19</v>
      </c>
      <c r="U4" s="37" t="n">
        <v>7</v>
      </c>
      <c r="V4" s="37" t="n">
        <v>8</v>
      </c>
    </row>
    <row outlineLevel="0" r="5">
      <c r="A5" s="33" t="n"/>
      <c r="B5" s="33" t="n"/>
      <c r="C5" s="33" t="s">
        <v>18</v>
      </c>
      <c r="D5" s="33" t="n"/>
      <c r="E5" s="33" t="n"/>
      <c r="F5" s="34" t="n"/>
      <c r="G5" s="33" t="n"/>
      <c r="H5" s="33" t="n"/>
      <c r="I5" s="34" t="n"/>
      <c r="J5" s="33" t="n"/>
      <c r="K5" s="33" t="n"/>
      <c r="L5" s="34" t="n"/>
      <c r="M5" s="34" t="n"/>
      <c r="N5" s="36" t="n"/>
      <c r="O5" s="9" t="n"/>
      <c r="Q5" s="0" t="n"/>
      <c r="R5" s="0" t="s">
        <v>21</v>
      </c>
      <c r="S5" s="38" t="n">
        <v>11</v>
      </c>
      <c r="T5" s="38" t="n">
        <v>9</v>
      </c>
      <c r="U5" s="38" t="n">
        <v>13</v>
      </c>
      <c r="V5" s="38" t="n">
        <v>8</v>
      </c>
    </row>
    <row outlineLevel="0" r="6">
      <c r="A6" s="33" t="n"/>
      <c r="B6" s="33" t="n"/>
      <c r="C6" s="34" t="n"/>
      <c r="D6" s="33" t="n"/>
      <c r="E6" s="33" t="n"/>
      <c r="F6" s="34" t="n"/>
      <c r="G6" s="33" t="n"/>
      <c r="H6" s="33" t="n"/>
      <c r="I6" s="34" t="n"/>
      <c r="J6" s="33" t="n"/>
      <c r="K6" s="39" t="n"/>
      <c r="L6" s="34" t="n"/>
      <c r="M6" s="34" t="n"/>
      <c r="N6" s="36" t="n"/>
      <c r="O6" s="9" t="n"/>
      <c r="S6" s="40" t="n">
        <f aca="false" ca="false" dt2D="false" dtr="false" t="normal">S4/(S4+S5)*100</f>
        <v>59.259259259259252</v>
      </c>
      <c r="T6" s="40" t="n">
        <f aca="false" ca="false" dt2D="false" dtr="false" t="normal">T4/(T4+T5)*100</f>
        <v>67.857142857142861</v>
      </c>
      <c r="U6" s="40" t="n">
        <f aca="false" ca="false" dt2D="false" dtr="false" t="normal">U4/(U4+U5)*100</f>
        <v>35</v>
      </c>
      <c r="V6" s="40" t="n">
        <f aca="false" ca="false" dt2D="false" dtr="false" t="normal">V4/(V4+V5)*100</f>
        <v>50</v>
      </c>
    </row>
    <row outlineLevel="0" r="7">
      <c r="A7" s="41" t="n"/>
      <c r="B7" s="41" t="n"/>
      <c r="C7" s="42" t="n"/>
      <c r="D7" s="41" t="n"/>
      <c r="E7" s="41" t="n"/>
      <c r="F7" s="42" t="n"/>
      <c r="G7" s="41" t="n"/>
      <c r="H7" s="41" t="n"/>
      <c r="I7" s="42" t="n"/>
      <c r="J7" s="41" t="n"/>
      <c r="K7" s="41" t="n"/>
      <c r="L7" s="42" t="n"/>
      <c r="M7" s="42" t="n"/>
      <c r="N7" s="43" t="n"/>
      <c r="O7" s="9" t="n"/>
      <c r="Q7" s="0" t="n"/>
      <c r="R7" s="0" t="n"/>
      <c r="S7" s="38" t="n"/>
      <c r="T7" s="38" t="n"/>
      <c r="U7" s="38" t="n"/>
      <c r="V7" s="38" t="n"/>
    </row>
    <row outlineLevel="0" r="8">
      <c r="A8" s="33" t="n"/>
      <c r="B8" s="33" t="n"/>
      <c r="C8" s="25" t="n"/>
      <c r="D8" s="33" t="n"/>
      <c r="E8" s="33" t="s">
        <v>22</v>
      </c>
      <c r="F8" s="25" t="n"/>
      <c r="G8" s="33" t="n"/>
      <c r="H8" s="33" t="n"/>
      <c r="I8" s="25" t="n"/>
      <c r="J8" s="33" t="n"/>
      <c r="K8" s="33" t="n"/>
      <c r="L8" s="25" t="n"/>
      <c r="M8" s="27" t="n">
        <v>46063</v>
      </c>
      <c r="N8" s="28" t="n"/>
      <c r="O8" s="9" t="n"/>
      <c r="Q8" s="0" t="n"/>
      <c r="R8" s="0" t="n"/>
      <c r="S8" s="0" t="n"/>
      <c r="T8" s="0" t="n"/>
      <c r="U8" s="0" t="n"/>
      <c r="V8" s="0" t="n"/>
    </row>
    <row outlineLevel="0" r="9">
      <c r="A9" s="33" t="n"/>
      <c r="B9" s="33" t="n"/>
      <c r="C9" s="34" t="n"/>
      <c r="D9" s="33" t="s">
        <v>23</v>
      </c>
      <c r="E9" s="33" t="n"/>
      <c r="F9" s="34" t="n"/>
      <c r="G9" s="33" t="n"/>
      <c r="H9" s="33" t="n"/>
      <c r="I9" s="34" t="n"/>
      <c r="J9" s="33" t="n"/>
      <c r="K9" s="33" t="n"/>
      <c r="L9" s="34" t="n"/>
      <c r="M9" s="34" t="n"/>
      <c r="N9" s="36" t="n"/>
      <c r="O9" s="9" t="n"/>
      <c r="Q9" s="0" t="n"/>
      <c r="R9" s="0" t="n"/>
      <c r="S9" s="0" t="n"/>
      <c r="T9" s="0" t="n"/>
      <c r="U9" s="0" t="n"/>
      <c r="V9" s="0" t="n"/>
    </row>
    <row outlineLevel="0" r="10">
      <c r="A10" s="33" t="n"/>
      <c r="B10" s="33" t="n"/>
      <c r="C10" s="34" t="n"/>
      <c r="D10" s="33" t="n"/>
      <c r="E10" s="33" t="n"/>
      <c r="F10" s="34" t="n"/>
      <c r="G10" s="33" t="s">
        <v>24</v>
      </c>
      <c r="H10" s="33" t="n"/>
      <c r="I10" s="34" t="n"/>
      <c r="J10" s="33" t="n"/>
      <c r="K10" s="33" t="n"/>
      <c r="L10" s="34" t="n"/>
      <c r="M10" s="34" t="n"/>
      <c r="N10" s="36" t="n"/>
      <c r="O10" s="9" t="n"/>
      <c r="S10" s="0" t="n"/>
      <c r="T10" s="0" t="n"/>
      <c r="U10" s="0" t="n"/>
      <c r="V10" s="0" t="n"/>
    </row>
    <row outlineLevel="0" r="11">
      <c r="A11" s="33" t="n"/>
      <c r="B11" s="33" t="n"/>
      <c r="C11" s="34" t="n"/>
      <c r="D11" s="33" t="n"/>
      <c r="E11" s="33" t="n"/>
      <c r="F11" s="34" t="n"/>
      <c r="G11" s="33" t="n"/>
      <c r="H11" s="33" t="n"/>
      <c r="I11" s="34" t="n"/>
      <c r="J11" s="44" t="s">
        <v>25</v>
      </c>
      <c r="K11" s="33" t="n"/>
      <c r="L11" s="34" t="n"/>
      <c r="M11" s="36" t="n"/>
      <c r="N11" s="36" t="n"/>
      <c r="O11" s="45" t="s">
        <v>26</v>
      </c>
      <c r="S11" s="0" t="n"/>
      <c r="T11" s="0" t="n"/>
      <c r="U11" s="0" t="n"/>
      <c r="V11" s="0" t="n"/>
    </row>
    <row outlineLevel="0" r="12">
      <c r="A12" s="33" t="n"/>
      <c r="B12" s="33" t="n"/>
      <c r="C12" s="34" t="n"/>
      <c r="D12" s="33" t="n"/>
      <c r="E12" s="33" t="n"/>
      <c r="F12" s="34" t="n"/>
      <c r="G12" s="33" t="n"/>
      <c r="H12" s="33" t="n"/>
      <c r="I12" s="34" t="n"/>
      <c r="J12" s="33" t="s">
        <v>27</v>
      </c>
      <c r="K12" s="33" t="n"/>
      <c r="L12" s="34" t="n"/>
      <c r="M12" s="34" t="n"/>
      <c r="N12" s="36" t="n"/>
      <c r="O12" s="9" t="n"/>
      <c r="S12" s="0" t="n"/>
      <c r="T12" s="0" t="n"/>
      <c r="U12" s="0" t="n"/>
      <c r="V12" s="0" t="n"/>
    </row>
    <row outlineLevel="0" r="13">
      <c r="A13" s="41" t="n"/>
      <c r="B13" s="41" t="n"/>
      <c r="C13" s="42" t="n"/>
      <c r="D13" s="41" t="n"/>
      <c r="E13" s="41" t="n"/>
      <c r="F13" s="42" t="n"/>
      <c r="G13" s="41" t="n"/>
      <c r="H13" s="41" t="n"/>
      <c r="I13" s="42" t="n"/>
      <c r="J13" s="46" t="s">
        <v>28</v>
      </c>
      <c r="K13" s="41" t="n"/>
      <c r="L13" s="42" t="n"/>
      <c r="M13" s="42" t="n"/>
      <c r="N13" s="43" t="n"/>
      <c r="O13" s="9" t="n"/>
      <c r="S13" s="0" t="n"/>
      <c r="T13" s="0" t="n"/>
      <c r="U13" s="0" t="n"/>
      <c r="V13" s="0" t="n"/>
    </row>
    <row outlineLevel="0" r="14">
      <c r="A14" s="33" t="n"/>
      <c r="B14" s="33" t="n"/>
      <c r="C14" s="25" t="n"/>
      <c r="D14" s="33" t="n"/>
      <c r="E14" s="33" t="n"/>
      <c r="F14" s="25" t="n"/>
      <c r="G14" s="33" t="n"/>
      <c r="H14" s="33" t="n"/>
      <c r="I14" s="25" t="n"/>
      <c r="J14" s="33" t="n"/>
      <c r="K14" s="33" t="n"/>
      <c r="L14" s="25" t="n"/>
      <c r="M14" s="27" t="n">
        <v>46064</v>
      </c>
      <c r="N14" s="28" t="n"/>
      <c r="O14" s="9" t="s">
        <v>29</v>
      </c>
      <c r="S14" s="0" t="n"/>
      <c r="T14" s="0" t="n"/>
      <c r="U14" s="0" t="n"/>
      <c r="V14" s="0" t="n"/>
    </row>
    <row outlineLevel="0" r="15">
      <c r="A15" s="33" t="n"/>
      <c r="B15" s="33" t="n"/>
      <c r="C15" s="34" t="n"/>
      <c r="D15" s="33" t="n"/>
      <c r="E15" s="33" t="n"/>
      <c r="F15" s="34" t="n"/>
      <c r="G15" s="33" t="n"/>
      <c r="H15" s="33" t="n"/>
      <c r="I15" s="34" t="n"/>
      <c r="J15" s="33" t="n"/>
      <c r="K15" s="33" t="s">
        <v>30</v>
      </c>
      <c r="L15" s="34" t="n"/>
      <c r="M15" s="34" t="n"/>
      <c r="N15" s="36" t="n"/>
      <c r="O15" s="9" t="s">
        <v>31</v>
      </c>
      <c r="S15" s="0" t="n"/>
      <c r="T15" s="0" t="n"/>
      <c r="U15" s="0" t="n"/>
      <c r="V15" s="0" t="n"/>
    </row>
    <row outlineLevel="0" r="16">
      <c r="A16" s="33" t="n"/>
      <c r="B16" s="33" t="n"/>
      <c r="C16" s="34" t="n"/>
      <c r="D16" s="33" t="n"/>
      <c r="E16" s="33" t="n"/>
      <c r="F16" s="34" t="n"/>
      <c r="G16" s="33" t="n"/>
      <c r="H16" s="33" t="n"/>
      <c r="I16" s="34" t="n"/>
      <c r="J16" s="33" t="n"/>
      <c r="K16" s="47" t="s">
        <v>32</v>
      </c>
      <c r="L16" s="34" t="n"/>
      <c r="M16" s="34" t="n"/>
      <c r="N16" s="36" t="n"/>
      <c r="O16" s="9" t="n"/>
      <c r="S16" s="0" t="n"/>
      <c r="T16" s="0" t="n"/>
      <c r="U16" s="0" t="n"/>
      <c r="V16" s="0" t="n"/>
    </row>
    <row outlineLevel="0" r="17">
      <c r="A17" s="33" t="n"/>
      <c r="B17" s="33" t="n"/>
      <c r="C17" s="34" t="n"/>
      <c r="D17" s="33" t="s">
        <v>23</v>
      </c>
      <c r="E17" s="33" t="n"/>
      <c r="F17" s="34" t="n"/>
      <c r="G17" s="33" t="n"/>
      <c r="H17" s="33" t="n"/>
      <c r="I17" s="34" t="n"/>
      <c r="J17" s="33" t="n"/>
      <c r="K17" s="33" t="n"/>
      <c r="L17" s="34" t="n"/>
      <c r="M17" s="34" t="n"/>
      <c r="N17" s="36" t="n"/>
      <c r="O17" s="9" t="n"/>
      <c r="S17" s="0" t="n"/>
      <c r="T17" s="0" t="n"/>
      <c r="U17" s="0" t="n"/>
      <c r="V17" s="0" t="n"/>
    </row>
    <row outlineLevel="0" r="18">
      <c r="A18" s="33" t="n"/>
      <c r="B18" s="33" t="n"/>
      <c r="C18" s="34" t="n"/>
      <c r="D18" s="33" t="n"/>
      <c r="E18" s="33" t="n"/>
      <c r="F18" s="34" t="n"/>
      <c r="G18" s="33" t="n"/>
      <c r="H18" s="33" t="n"/>
      <c r="I18" s="34" t="n"/>
      <c r="J18" s="33" t="s">
        <v>33</v>
      </c>
      <c r="K18" s="0" t="n"/>
      <c r="L18" s="34" t="n"/>
      <c r="M18" s="34" t="n"/>
      <c r="N18" s="36" t="n"/>
      <c r="O18" s="9" t="n"/>
      <c r="S18" s="0" t="n"/>
      <c r="T18" s="0" t="n"/>
      <c r="U18" s="0" t="n"/>
      <c r="V18" s="0" t="n"/>
    </row>
    <row outlineLevel="0" r="19">
      <c r="A19" s="41" t="n"/>
      <c r="B19" s="48" t="s">
        <v>34</v>
      </c>
      <c r="C19" s="42" t="n"/>
      <c r="D19" s="41" t="n"/>
      <c r="E19" s="41" t="n"/>
      <c r="F19" s="42" t="n"/>
      <c r="G19" s="41" t="n"/>
      <c r="H19" s="41" t="n"/>
      <c r="I19" s="42" t="n"/>
      <c r="J19" s="41" t="n"/>
      <c r="K19" s="41" t="n"/>
      <c r="L19" s="42" t="n"/>
      <c r="M19" s="42" t="n"/>
      <c r="N19" s="43" t="n"/>
      <c r="O19" s="9" t="n"/>
      <c r="S19" s="0" t="n"/>
      <c r="T19" s="0" t="n"/>
      <c r="U19" s="0" t="n"/>
      <c r="V19" s="0" t="n"/>
    </row>
    <row outlineLevel="0" r="20">
      <c r="A20" s="33" t="n"/>
      <c r="B20" s="33" t="n"/>
      <c r="C20" s="25" t="n"/>
      <c r="D20" s="33" t="n"/>
      <c r="E20" s="33" t="n"/>
      <c r="F20" s="25" t="n"/>
      <c r="G20" s="33" t="n"/>
      <c r="H20" s="33" t="n"/>
      <c r="I20" s="25" t="n"/>
      <c r="J20" s="33" t="n"/>
      <c r="K20" s="33" t="s">
        <v>35</v>
      </c>
      <c r="L20" s="25" t="n"/>
      <c r="M20" s="27" t="n">
        <v>46065</v>
      </c>
      <c r="N20" s="28" t="n"/>
      <c r="O20" s="9" t="n"/>
      <c r="S20" s="0" t="n"/>
      <c r="T20" s="0" t="n"/>
      <c r="U20" s="0" t="n"/>
      <c r="V20" s="0" t="n"/>
    </row>
    <row outlineLevel="0" r="21">
      <c r="A21" s="33" t="n"/>
      <c r="B21" s="33" t="n"/>
      <c r="C21" s="34" t="n"/>
      <c r="D21" s="33" t="n"/>
      <c r="E21" s="33" t="n"/>
      <c r="F21" s="34" t="n"/>
      <c r="G21" s="33" t="n"/>
      <c r="H21" s="33" t="n"/>
      <c r="I21" s="34" t="n"/>
      <c r="J21" s="35" t="s">
        <v>36</v>
      </c>
      <c r="K21" s="33" t="n"/>
      <c r="L21" s="34" t="n"/>
      <c r="M21" s="34" t="n"/>
      <c r="N21" s="36" t="n"/>
      <c r="O21" s="9" t="n"/>
      <c r="S21" s="0" t="n"/>
      <c r="T21" s="0" t="n"/>
      <c r="U21" s="0" t="n"/>
      <c r="V21" s="0" t="n"/>
    </row>
    <row outlineLevel="0" r="22">
      <c r="A22" s="33" t="n"/>
      <c r="B22" s="33" t="n"/>
      <c r="C22" s="34" t="n"/>
      <c r="D22" s="33" t="n"/>
      <c r="E22" s="33" t="n"/>
      <c r="F22" s="34" t="n"/>
      <c r="G22" s="47" t="s">
        <v>37</v>
      </c>
      <c r="H22" s="33" t="n"/>
      <c r="I22" s="34" t="n"/>
      <c r="J22" s="33" t="n"/>
      <c r="K22" s="33" t="n"/>
      <c r="L22" s="34" t="n"/>
      <c r="M22" s="34" t="n"/>
      <c r="N22" s="36" t="n"/>
      <c r="O22" s="9" t="n"/>
      <c r="S22" s="0" t="n"/>
      <c r="T22" s="0" t="n"/>
      <c r="U22" s="0" t="n"/>
      <c r="V22" s="0" t="n"/>
    </row>
    <row outlineLevel="0" r="23">
      <c r="A23" s="35" t="s">
        <v>38</v>
      </c>
      <c r="B23" s="33" t="n"/>
      <c r="C23" s="34" t="n"/>
      <c r="D23" s="19" t="n"/>
      <c r="E23" s="33" t="n"/>
      <c r="F23" s="34" t="n"/>
      <c r="G23" s="19" t="n"/>
      <c r="H23" s="33" t="n"/>
      <c r="I23" s="34" t="n"/>
      <c r="J23" s="33" t="n"/>
      <c r="K23" s="33" t="n"/>
      <c r="L23" s="34" t="n"/>
      <c r="M23" s="34" t="n"/>
      <c r="N23" s="36" t="n"/>
      <c r="O23" s="45" t="s">
        <v>39</v>
      </c>
      <c r="S23" s="0" t="n"/>
      <c r="T23" s="0" t="n"/>
      <c r="U23" s="0" t="n"/>
      <c r="V23" s="0" t="n"/>
    </row>
    <row outlineLevel="0" r="24">
      <c r="A24" s="33" t="n"/>
      <c r="B24" s="33" t="n"/>
      <c r="C24" s="34" t="n"/>
      <c r="D24" s="33" t="s">
        <v>23</v>
      </c>
      <c r="E24" s="33" t="n"/>
      <c r="F24" s="34" t="n"/>
      <c r="G24" s="33" t="n"/>
      <c r="H24" s="33" t="n"/>
      <c r="I24" s="34" t="n"/>
      <c r="J24" s="33" t="n"/>
      <c r="K24" s="33" t="n"/>
      <c r="L24" s="34" t="n"/>
      <c r="M24" s="34" t="n"/>
      <c r="N24" s="36" t="n"/>
      <c r="O24" s="9" t="n"/>
      <c r="S24" s="0" t="n"/>
      <c r="T24" s="0" t="n"/>
      <c r="U24" s="0" t="n"/>
      <c r="V24" s="0" t="n"/>
    </row>
    <row outlineLevel="0" r="25">
      <c r="A25" s="33" t="n"/>
      <c r="B25" s="33" t="n"/>
      <c r="C25" s="34" t="n"/>
      <c r="D25" s="33" t="n"/>
      <c r="E25" s="33" t="n"/>
      <c r="F25" s="34" t="s">
        <v>23</v>
      </c>
      <c r="G25" s="33" t="n"/>
      <c r="H25" s="33" t="n"/>
      <c r="I25" s="34" t="n"/>
      <c r="J25" s="33" t="n"/>
      <c r="K25" s="33" t="n"/>
      <c r="L25" s="34" t="n"/>
      <c r="M25" s="34" t="n"/>
      <c r="N25" s="36" t="n"/>
      <c r="O25" s="9" t="n"/>
      <c r="S25" s="0" t="n"/>
      <c r="T25" s="0" t="n"/>
      <c r="U25" s="0" t="n"/>
      <c r="V25" s="0" t="n"/>
    </row>
    <row outlineLevel="0" r="26">
      <c r="A26" s="41" t="n"/>
      <c r="B26" s="41" t="n"/>
      <c r="C26" s="42" t="n"/>
      <c r="D26" s="41" t="n"/>
      <c r="E26" s="41" t="n"/>
      <c r="F26" s="42" t="n"/>
      <c r="G26" s="49" t="s">
        <v>40</v>
      </c>
      <c r="H26" s="41" t="n"/>
      <c r="I26" s="42" t="n"/>
      <c r="J26" s="41" t="n"/>
      <c r="K26" s="41" t="n"/>
      <c r="L26" s="42" t="n"/>
      <c r="M26" s="42" t="n"/>
      <c r="N26" s="43" t="n"/>
      <c r="O26" s="9" t="s">
        <v>41</v>
      </c>
      <c r="S26" s="0" t="n"/>
      <c r="T26" s="0" t="n"/>
      <c r="U26" s="0" t="n"/>
      <c r="V26" s="0" t="n"/>
    </row>
    <row outlineLevel="0" r="27">
      <c r="A27" s="33" t="n"/>
      <c r="B27" s="33" t="n"/>
      <c r="C27" s="25" t="n"/>
      <c r="D27" s="33" t="n"/>
      <c r="E27" s="33" t="n"/>
      <c r="F27" s="25" t="n"/>
      <c r="G27" s="33" t="n"/>
      <c r="H27" s="33" t="n"/>
      <c r="I27" s="25" t="n"/>
      <c r="J27" s="33" t="n"/>
      <c r="K27" s="33" t="s">
        <v>30</v>
      </c>
      <c r="L27" s="25" t="n"/>
      <c r="M27" s="27" t="n">
        <v>46066</v>
      </c>
      <c r="N27" s="28" t="n"/>
      <c r="O27" s="9" t="n"/>
      <c r="S27" s="0" t="n"/>
      <c r="T27" s="0" t="n"/>
      <c r="U27" s="0" t="n"/>
      <c r="V27" s="0" t="n"/>
    </row>
    <row outlineLevel="0" r="28">
      <c r="A28" s="33" t="n"/>
      <c r="B28" s="33" t="n"/>
      <c r="C28" s="34" t="n"/>
      <c r="D28" s="33" t="n"/>
      <c r="E28" s="33" t="n"/>
      <c r="F28" s="34" t="n"/>
      <c r="G28" s="33" t="n"/>
      <c r="H28" s="33" t="n"/>
      <c r="I28" s="34" t="n"/>
      <c r="J28" s="47" t="s">
        <v>42</v>
      </c>
      <c r="K28" s="33" t="n"/>
      <c r="L28" s="34" t="n"/>
      <c r="M28" s="34" t="n"/>
      <c r="N28" s="36" t="n"/>
      <c r="O28" s="9" t="n"/>
      <c r="S28" s="0" t="n"/>
      <c r="T28" s="0" t="n"/>
      <c r="U28" s="0" t="n"/>
      <c r="V28" s="0" t="n"/>
    </row>
    <row outlineLevel="0" r="29">
      <c r="A29" s="33" t="n"/>
      <c r="B29" s="33" t="n"/>
      <c r="C29" s="34" t="n"/>
      <c r="D29" s="33" t="s">
        <v>43</v>
      </c>
      <c r="E29" s="33" t="n"/>
      <c r="F29" s="34" t="n"/>
      <c r="G29" s="33" t="n"/>
      <c r="H29" s="33" t="n"/>
      <c r="I29" s="34" t="n"/>
      <c r="J29" s="50" t="n"/>
      <c r="K29" s="33" t="n"/>
      <c r="L29" s="34" t="n"/>
      <c r="M29" s="34" t="n"/>
      <c r="N29" s="36" t="n"/>
      <c r="O29" s="9" t="n"/>
      <c r="S29" s="0" t="n"/>
      <c r="T29" s="0" t="n"/>
      <c r="U29" s="0" t="n"/>
      <c r="V29" s="0" t="n"/>
    </row>
    <row outlineLevel="0" r="30">
      <c r="A30" s="35" t="s">
        <v>44</v>
      </c>
      <c r="B30" s="33" t="n"/>
      <c r="C30" s="34" t="n"/>
      <c r="D30" s="33" t="n"/>
      <c r="E30" s="33" t="n"/>
      <c r="F30" s="34" t="n"/>
      <c r="G30" s="33" t="n"/>
      <c r="H30" s="33" t="n"/>
      <c r="I30" s="34" t="n"/>
      <c r="J30" s="33" t="n"/>
      <c r="K30" s="33" t="n"/>
      <c r="L30" s="34" t="n"/>
      <c r="M30" s="34" t="n"/>
      <c r="N30" s="36" t="n"/>
      <c r="O30" s="9" t="s">
        <v>45</v>
      </c>
      <c r="S30" s="0" t="n"/>
      <c r="T30" s="0" t="n"/>
      <c r="U30" s="0" t="n"/>
      <c r="V30" s="0" t="n"/>
    </row>
    <row outlineLevel="0" r="31">
      <c r="A31" s="33" t="n"/>
      <c r="B31" s="33" t="n"/>
      <c r="C31" s="34" t="n"/>
      <c r="D31" s="33" t="n"/>
      <c r="E31" s="33" t="n"/>
      <c r="F31" s="34" t="n"/>
      <c r="G31" s="33" t="n"/>
      <c r="H31" s="33" t="n"/>
      <c r="I31" s="34" t="n"/>
      <c r="J31" s="33" t="s">
        <v>46</v>
      </c>
      <c r="K31" s="33" t="n"/>
      <c r="L31" s="34" t="n"/>
      <c r="M31" s="34" t="n"/>
      <c r="N31" s="36" t="n"/>
      <c r="O31" s="9" t="n"/>
      <c r="S31" s="0" t="n"/>
      <c r="T31" s="0" t="n"/>
      <c r="U31" s="0" t="n"/>
      <c r="V31" s="0" t="n"/>
    </row>
    <row outlineLevel="0" r="32">
      <c r="A32" s="33" t="n"/>
      <c r="B32" s="33" t="n"/>
      <c r="C32" s="34" t="n"/>
      <c r="D32" s="19" t="s">
        <v>47</v>
      </c>
      <c r="E32" s="33" t="n"/>
      <c r="F32" s="34" t="n"/>
      <c r="G32" s="33" t="n"/>
      <c r="H32" s="33" t="n"/>
      <c r="I32" s="34" t="n"/>
      <c r="J32" s="33" t="n"/>
      <c r="K32" s="33" t="n"/>
      <c r="L32" s="34" t="n"/>
      <c r="M32" s="34" t="n"/>
      <c r="N32" s="36" t="n"/>
      <c r="O32" s="9" t="n"/>
      <c r="S32" s="0" t="n"/>
      <c r="T32" s="0" t="n"/>
      <c r="U32" s="0" t="n"/>
      <c r="V32" s="0" t="n"/>
    </row>
    <row outlineLevel="0" r="33">
      <c r="A33" s="33" t="n"/>
      <c r="B33" s="33" t="n"/>
      <c r="C33" s="34" t="n"/>
      <c r="D33" s="33" t="n"/>
      <c r="E33" s="33" t="n"/>
      <c r="F33" s="34" t="s">
        <v>22</v>
      </c>
      <c r="G33" s="33" t="n"/>
      <c r="H33" s="33" t="n"/>
      <c r="I33" s="34" t="n"/>
      <c r="J33" s="33" t="n"/>
      <c r="K33" s="33" t="n"/>
      <c r="L33" s="34" t="n"/>
      <c r="M33" s="34" t="n"/>
      <c r="N33" s="36" t="n"/>
      <c r="O33" s="9" t="n"/>
      <c r="S33" s="0" t="n"/>
      <c r="T33" s="0" t="n"/>
      <c r="U33" s="0" t="n"/>
      <c r="V33" s="0" t="n"/>
    </row>
    <row outlineLevel="0" r="34">
      <c r="A34" s="33" t="n"/>
      <c r="B34" s="33" t="n"/>
      <c r="C34" s="34" t="n"/>
      <c r="D34" s="33" t="n"/>
      <c r="E34" s="33" t="n"/>
      <c r="F34" s="34" t="n"/>
      <c r="G34" s="35" t="s">
        <v>48</v>
      </c>
      <c r="H34" s="33" t="n"/>
      <c r="I34" s="34" t="n"/>
      <c r="J34" s="33" t="n"/>
      <c r="K34" s="33" t="n"/>
      <c r="L34" s="34" t="n"/>
      <c r="M34" s="34" t="n"/>
      <c r="N34" s="36" t="n"/>
      <c r="O34" s="9" t="n"/>
      <c r="S34" s="0" t="n"/>
      <c r="T34" s="0" t="n"/>
      <c r="U34" s="0" t="n"/>
      <c r="V34" s="0" t="n"/>
    </row>
    <row outlineLevel="0" r="35">
      <c r="A35" s="33" t="n"/>
      <c r="B35" s="33" t="n"/>
      <c r="C35" s="34" t="n"/>
      <c r="D35" s="33" t="n"/>
      <c r="E35" s="33" t="n"/>
      <c r="F35" s="34" t="n"/>
      <c r="G35" s="33" t="n"/>
      <c r="H35" s="33" t="n"/>
      <c r="I35" s="34" t="n"/>
      <c r="J35" s="33" t="n"/>
      <c r="K35" s="33" t="n"/>
      <c r="L35" s="34" t="s">
        <v>46</v>
      </c>
      <c r="M35" s="34" t="n"/>
      <c r="N35" s="36" t="n"/>
      <c r="O35" s="9" t="n"/>
      <c r="S35" s="0" t="n"/>
      <c r="T35" s="0" t="n"/>
      <c r="U35" s="0" t="n"/>
      <c r="V35" s="0" t="n"/>
    </row>
    <row outlineLevel="0" r="36">
      <c r="A36" s="33" t="n"/>
      <c r="B36" s="33" t="s">
        <v>49</v>
      </c>
      <c r="C36" s="34" t="n"/>
      <c r="D36" s="33" t="n"/>
      <c r="E36" s="33" t="n"/>
      <c r="F36" s="34" t="n"/>
      <c r="G36" s="33" t="n"/>
      <c r="H36" s="33" t="n"/>
      <c r="I36" s="34" t="n"/>
      <c r="J36" s="33" t="n"/>
      <c r="K36" s="33" t="n"/>
      <c r="L36" s="34" t="n"/>
      <c r="M36" s="34" t="n"/>
      <c r="N36" s="36" t="n"/>
      <c r="O36" s="9" t="n"/>
      <c r="S36" s="0" t="n"/>
      <c r="T36" s="0" t="n"/>
      <c r="U36" s="0" t="n"/>
      <c r="V36" s="0" t="n"/>
    </row>
    <row outlineLevel="0" r="37">
      <c r="A37" s="33" t="s">
        <v>50</v>
      </c>
      <c r="B37" s="33" t="n"/>
      <c r="C37" s="34" t="n"/>
      <c r="D37" s="33" t="n"/>
      <c r="E37" s="33" t="n"/>
      <c r="F37" s="34" t="n"/>
      <c r="G37" s="33" t="n"/>
      <c r="H37" s="33" t="n"/>
      <c r="I37" s="34" t="n"/>
      <c r="J37" s="33" t="n"/>
      <c r="K37" s="33" t="n"/>
      <c r="L37" s="34" t="n"/>
      <c r="M37" s="34" t="n"/>
      <c r="N37" s="36" t="n"/>
      <c r="O37" s="9" t="n"/>
      <c r="S37" s="0" t="n"/>
      <c r="T37" s="0" t="n"/>
      <c r="U37" s="0" t="n"/>
      <c r="V37" s="0" t="n"/>
    </row>
    <row outlineLevel="0" r="38">
      <c r="A38" s="41" t="n"/>
      <c r="B38" s="41" t="n"/>
      <c r="C38" s="51" t="s">
        <v>51</v>
      </c>
      <c r="D38" s="41" t="n"/>
      <c r="E38" s="41" t="n"/>
      <c r="F38" s="42" t="n"/>
      <c r="G38" s="41" t="n"/>
      <c r="H38" s="41" t="n"/>
      <c r="I38" s="42" t="n"/>
      <c r="J38" s="52" t="n"/>
      <c r="K38" s="41" t="n"/>
      <c r="L38" s="42" t="n"/>
      <c r="M38" s="42" t="n"/>
      <c r="N38" s="43" t="n"/>
      <c r="O38" s="9" t="s">
        <v>52</v>
      </c>
      <c r="S38" s="0" t="n"/>
      <c r="T38" s="0" t="n"/>
      <c r="U38" s="0" t="n"/>
      <c r="V38" s="0" t="n"/>
    </row>
    <row outlineLevel="0" r="39">
      <c r="A39" s="33" t="n"/>
      <c r="B39" s="33" t="n"/>
      <c r="C39" s="25" t="n"/>
      <c r="D39" s="33" t="n"/>
      <c r="E39" s="33" t="n"/>
      <c r="F39" s="25" t="n"/>
      <c r="G39" s="33" t="n"/>
      <c r="H39" s="33" t="n"/>
      <c r="I39" s="25" t="n"/>
      <c r="J39" s="33" t="s">
        <v>30</v>
      </c>
      <c r="K39" s="33" t="n"/>
      <c r="L39" s="25" t="n"/>
      <c r="M39" s="27" t="n">
        <v>46069</v>
      </c>
      <c r="N39" s="28" t="n"/>
      <c r="O39" s="9" t="n"/>
      <c r="S39" s="0" t="n"/>
      <c r="T39" s="0" t="n"/>
      <c r="U39" s="0" t="n"/>
      <c r="V39" s="0" t="n"/>
    </row>
    <row outlineLevel="0" r="40">
      <c r="A40" s="33" t="n"/>
      <c r="B40" s="33" t="n"/>
      <c r="C40" s="34" t="n"/>
      <c r="D40" s="33" t="n"/>
      <c r="E40" s="33" t="n"/>
      <c r="F40" s="34" t="n"/>
      <c r="G40" s="33" t="n"/>
      <c r="H40" s="33" t="n"/>
      <c r="I40" s="34" t="n"/>
      <c r="J40" s="35" t="s">
        <v>53</v>
      </c>
      <c r="K40" s="33" t="n"/>
      <c r="L40" s="34" t="n"/>
      <c r="M40" s="34" t="n"/>
      <c r="N40" s="36" t="n">
        <f aca="false" ca="false" dt2D="false" dtr="false" t="normal">615.95-2.98</f>
        <v>612.97000000000003</v>
      </c>
      <c r="O40" s="9" t="n"/>
      <c r="S40" s="0" t="n"/>
      <c r="T40" s="0" t="n"/>
      <c r="U40" s="0" t="n"/>
      <c r="V40" s="0" t="n"/>
    </row>
    <row outlineLevel="0" r="41">
      <c r="A41" s="33" t="n"/>
      <c r="B41" s="33" t="n"/>
      <c r="C41" s="34" t="n"/>
      <c r="D41" s="33" t="n"/>
      <c r="E41" s="33" t="n"/>
      <c r="F41" s="34" t="n"/>
      <c r="G41" s="47" t="s">
        <v>54</v>
      </c>
      <c r="H41" s="33" t="n"/>
      <c r="I41" s="34" t="n"/>
      <c r="J41" s="33" t="n"/>
      <c r="K41" s="33" t="n"/>
      <c r="L41" s="34" t="n"/>
      <c r="M41" s="34" t="n"/>
      <c r="N41" s="36" t="n"/>
      <c r="O41" s="9" t="n"/>
      <c r="S41" s="0" t="n"/>
      <c r="T41" s="0" t="n"/>
      <c r="U41" s="0" t="n"/>
      <c r="V41" s="0" t="n"/>
    </row>
    <row outlineLevel="0" r="42">
      <c r="A42" s="33" t="n"/>
      <c r="B42" s="33" t="n"/>
      <c r="C42" s="34" t="n"/>
      <c r="D42" s="33" t="n"/>
      <c r="E42" s="33" t="n"/>
      <c r="F42" s="34" t="n"/>
      <c r="G42" s="33" t="s">
        <v>55</v>
      </c>
      <c r="H42" s="33" t="n"/>
      <c r="I42" s="34" t="n"/>
      <c r="J42" s="33" t="n"/>
      <c r="K42" s="33" t="n"/>
      <c r="L42" s="34" t="n"/>
      <c r="M42" s="34" t="n"/>
      <c r="N42" s="36" t="n"/>
      <c r="O42" s="9" t="n"/>
      <c r="S42" s="0" t="n"/>
      <c r="T42" s="0" t="n"/>
      <c r="U42" s="0" t="n"/>
      <c r="V42" s="0" t="n"/>
    </row>
    <row outlineLevel="0" r="43">
      <c r="A43" s="33" t="n"/>
      <c r="B43" s="47" t="s">
        <v>56</v>
      </c>
      <c r="C43" s="34" t="n"/>
      <c r="D43" s="33" t="n"/>
      <c r="E43" s="33" t="n"/>
      <c r="F43" s="34" t="n"/>
      <c r="G43" s="33" t="n"/>
      <c r="H43" s="33" t="n"/>
      <c r="I43" s="34" t="n"/>
      <c r="J43" s="33" t="n"/>
      <c r="K43" s="33" t="n"/>
      <c r="L43" s="34" t="n"/>
      <c r="M43" s="34" t="n"/>
      <c r="N43" s="36" t="n">
        <v>-461.68000000000001</v>
      </c>
      <c r="O43" s="9" t="n"/>
      <c r="S43" s="0" t="n"/>
      <c r="T43" s="0" t="n"/>
      <c r="U43" s="0" t="n"/>
      <c r="V43" s="0" t="n"/>
    </row>
    <row outlineLevel="0" r="44">
      <c r="A44" s="19" t="s">
        <v>33</v>
      </c>
      <c r="B44" s="33" t="n"/>
      <c r="C44" s="34" t="n"/>
      <c r="D44" s="33" t="n"/>
      <c r="E44" s="33" t="n"/>
      <c r="F44" s="34" t="n"/>
      <c r="G44" s="33" t="n"/>
      <c r="H44" s="33" t="n"/>
      <c r="I44" s="34" t="n"/>
      <c r="J44" s="33" t="n"/>
      <c r="K44" s="33" t="n"/>
      <c r="L44" s="34" t="n"/>
      <c r="M44" s="34" t="n"/>
      <c r="N44" s="36" t="n"/>
      <c r="O44" s="9" t="n"/>
      <c r="S44" s="0" t="n"/>
      <c r="T44" s="0" t="n"/>
      <c r="U44" s="0" t="n"/>
      <c r="V44" s="0" t="n"/>
    </row>
    <row outlineLevel="0" r="45">
      <c r="A45" s="33" t="n"/>
      <c r="B45" s="33" t="n"/>
      <c r="C45" s="34" t="n"/>
      <c r="D45" s="19" t="s">
        <v>47</v>
      </c>
      <c r="E45" s="33" t="n"/>
      <c r="F45" s="34" t="n"/>
      <c r="G45" s="33" t="n"/>
      <c r="H45" s="33" t="n"/>
      <c r="I45" s="34" t="n"/>
      <c r="J45" s="33" t="n"/>
      <c r="K45" s="33" t="n"/>
      <c r="L45" s="34" t="n"/>
      <c r="M45" s="34" t="n"/>
      <c r="N45" s="36" t="n"/>
      <c r="O45" s="9" t="n"/>
      <c r="S45" s="0" t="n"/>
      <c r="T45" s="0" t="n"/>
      <c r="U45" s="0" t="n"/>
      <c r="V45" s="0" t="n"/>
    </row>
    <row outlineLevel="0" r="46">
      <c r="A46" s="41" t="n"/>
      <c r="B46" s="41" t="n"/>
      <c r="C46" s="42" t="n"/>
      <c r="D46" s="41" t="n"/>
      <c r="E46" s="41" t="n"/>
      <c r="F46" s="41" t="s">
        <v>47</v>
      </c>
      <c r="G46" s="41" t="n"/>
      <c r="H46" s="41" t="n"/>
      <c r="I46" s="42" t="n"/>
      <c r="J46" s="41" t="n"/>
      <c r="K46" s="41" t="n"/>
      <c r="L46" s="42" t="n"/>
      <c r="M46" s="42" t="n"/>
      <c r="N46" s="43" t="n"/>
      <c r="O46" s="9" t="n"/>
      <c r="S46" s="0" t="n"/>
      <c r="T46" s="0" t="n"/>
      <c r="U46" s="0" t="n"/>
      <c r="V46" s="0" t="n"/>
    </row>
    <row outlineLevel="0" r="47">
      <c r="A47" s="33" t="n"/>
      <c r="B47" s="33" t="n"/>
      <c r="C47" s="25" t="n"/>
      <c r="D47" s="33" t="n"/>
      <c r="E47" s="33" t="n"/>
      <c r="F47" s="25" t="n"/>
      <c r="G47" s="33" t="n"/>
      <c r="H47" s="44" t="s">
        <v>57</v>
      </c>
      <c r="I47" s="25" t="n"/>
      <c r="J47" s="50" t="n"/>
      <c r="K47" s="33" t="n"/>
      <c r="L47" s="25" t="n"/>
      <c r="M47" s="27" t="n">
        <v>46070</v>
      </c>
      <c r="N47" s="36" t="n">
        <v>-536.95000000000005</v>
      </c>
      <c r="O47" s="9" t="n"/>
      <c r="S47" s="0" t="n"/>
      <c r="T47" s="0" t="n"/>
      <c r="U47" s="0" t="n"/>
      <c r="V47" s="0" t="n"/>
    </row>
    <row outlineLevel="0" r="48">
      <c r="A48" s="35" t="s">
        <v>58</v>
      </c>
      <c r="B48" s="33" t="n"/>
      <c r="C48" s="34" t="n"/>
      <c r="D48" s="33" t="n"/>
      <c r="E48" s="33" t="n"/>
      <c r="F48" s="34" t="n"/>
      <c r="G48" s="19" t="n"/>
      <c r="H48" s="33" t="n"/>
      <c r="I48" s="34" t="n"/>
      <c r="J48" s="33" t="n"/>
      <c r="K48" s="33" t="n"/>
      <c r="L48" s="34" t="n"/>
      <c r="M48" s="34" t="n"/>
      <c r="N48" s="36" t="n">
        <v>600</v>
      </c>
      <c r="O48" s="9" t="n"/>
      <c r="S48" s="0" t="n"/>
      <c r="T48" s="0" t="n"/>
      <c r="U48" s="0" t="n"/>
      <c r="V48" s="0" t="n"/>
    </row>
    <row outlineLevel="0" r="49">
      <c r="A49" s="33" t="n"/>
      <c r="B49" s="33" t="n"/>
      <c r="C49" s="34" t="n"/>
      <c r="D49" s="33" t="n"/>
      <c r="E49" s="33" t="n"/>
      <c r="F49" s="34" t="n"/>
      <c r="G49" s="19" t="s">
        <v>59</v>
      </c>
      <c r="H49" s="33" t="n"/>
      <c r="I49" s="34" t="n"/>
      <c r="J49" s="33" t="n"/>
      <c r="K49" s="33" t="n"/>
      <c r="L49" s="34" t="n"/>
      <c r="M49" s="34" t="n"/>
      <c r="N49" s="36" t="n"/>
      <c r="O49" s="9" t="n"/>
      <c r="S49" s="0" t="n"/>
      <c r="T49" s="0" t="n"/>
      <c r="U49" s="0" t="n"/>
      <c r="V49" s="0" t="n"/>
    </row>
    <row outlineLevel="0" r="50">
      <c r="A50" s="33" t="n"/>
      <c r="B50" s="33" t="n"/>
      <c r="C50" s="34" t="n"/>
      <c r="D50" s="19" t="s">
        <v>43</v>
      </c>
      <c r="E50" s="33" t="n"/>
      <c r="F50" s="34" t="n"/>
      <c r="G50" s="33" t="n"/>
      <c r="H50" s="33" t="n"/>
      <c r="I50" s="34" t="n"/>
      <c r="J50" s="33" t="n"/>
      <c r="K50" s="33" t="n"/>
      <c r="L50" s="34" t="n"/>
      <c r="M50" s="34" t="n"/>
      <c r="N50" s="36" t="n"/>
      <c r="O50" s="9" t="n"/>
      <c r="S50" s="0" t="n"/>
      <c r="T50" s="0" t="n"/>
      <c r="U50" s="0" t="n"/>
      <c r="V50" s="0" t="n"/>
    </row>
    <row outlineLevel="0" r="51">
      <c r="A51" s="33" t="n"/>
      <c r="B51" s="33" t="n"/>
      <c r="C51" s="34" t="n"/>
      <c r="D51" s="33" t="n"/>
      <c r="E51" s="33" t="n"/>
      <c r="F51" s="34" t="s">
        <v>60</v>
      </c>
      <c r="G51" s="33" t="n"/>
      <c r="H51" s="33" t="n"/>
      <c r="I51" s="34" t="n"/>
      <c r="J51" s="33" t="n"/>
      <c r="K51" s="33" t="n"/>
      <c r="L51" s="34" t="n"/>
      <c r="M51" s="34" t="n"/>
      <c r="N51" s="36" t="n"/>
      <c r="O51" s="9" t="n"/>
      <c r="S51" s="0" t="n"/>
      <c r="T51" s="0" t="n"/>
      <c r="U51" s="0" t="n"/>
      <c r="V51" s="0" t="n"/>
    </row>
    <row outlineLevel="0" r="52">
      <c r="A52" s="33" t="n"/>
      <c r="B52" s="33" t="n"/>
      <c r="C52" s="34" t="n"/>
      <c r="D52" s="33" t="n"/>
      <c r="E52" s="33" t="n"/>
      <c r="F52" s="34" t="n"/>
      <c r="G52" s="33" t="n"/>
      <c r="H52" s="33" t="n"/>
      <c r="I52" s="34" t="n"/>
      <c r="J52" s="19" t="s">
        <v>46</v>
      </c>
      <c r="K52" s="33" t="n"/>
      <c r="L52" s="34" t="n"/>
      <c r="M52" s="34" t="n"/>
      <c r="N52" s="36" t="n"/>
      <c r="O52" s="9" t="n"/>
      <c r="S52" s="0" t="n"/>
      <c r="T52" s="0" t="n"/>
      <c r="U52" s="0" t="n"/>
      <c r="V52" s="0" t="n"/>
    </row>
    <row outlineLevel="0" r="53">
      <c r="A53" s="19" t="s">
        <v>55</v>
      </c>
      <c r="B53" s="33" t="n"/>
      <c r="C53" s="34" t="n"/>
      <c r="D53" s="33" t="n"/>
      <c r="E53" s="33" t="n"/>
      <c r="F53" s="34" t="n"/>
      <c r="G53" s="33" t="n"/>
      <c r="H53" s="33" t="n"/>
      <c r="I53" s="34" t="n"/>
      <c r="J53" s="33" t="n"/>
      <c r="K53" s="33" t="n"/>
      <c r="L53" s="34" t="n"/>
      <c r="M53" s="34" t="n"/>
      <c r="N53" s="36" t="n"/>
      <c r="O53" s="9" t="s">
        <v>61</v>
      </c>
      <c r="S53" s="0" t="n"/>
      <c r="T53" s="0" t="n"/>
      <c r="U53" s="0" t="n"/>
      <c r="V53" s="0" t="n"/>
    </row>
    <row outlineLevel="0" r="54">
      <c r="A54" s="33" t="n"/>
      <c r="B54" s="33" t="n"/>
      <c r="C54" s="34" t="n"/>
      <c r="D54" s="33" t="n"/>
      <c r="E54" s="33" t="n"/>
      <c r="F54" s="34" t="n"/>
      <c r="G54" s="33" t="s">
        <v>30</v>
      </c>
      <c r="H54" s="33" t="n"/>
      <c r="I54" s="34" t="n"/>
      <c r="J54" s="33" t="n"/>
      <c r="K54" s="33" t="n"/>
      <c r="L54" s="34" t="n"/>
      <c r="M54" s="34" t="n"/>
      <c r="N54" s="36" t="n"/>
      <c r="O54" s="9" t="n"/>
      <c r="S54" s="0" t="n"/>
      <c r="T54" s="0" t="n"/>
      <c r="U54" s="0" t="n"/>
      <c r="V54" s="0" t="n"/>
    </row>
    <row outlineLevel="0" r="55">
      <c r="A55" s="41" t="n"/>
      <c r="B55" s="41" t="n"/>
      <c r="C55" s="42" t="n"/>
      <c r="D55" s="48" t="s">
        <v>62</v>
      </c>
      <c r="E55" s="41" t="n"/>
      <c r="F55" s="42" t="n"/>
      <c r="G55" s="41" t="n"/>
      <c r="H55" s="41" t="n"/>
      <c r="I55" s="42" t="n"/>
      <c r="J55" s="41" t="n"/>
      <c r="K55" s="41" t="n"/>
      <c r="L55" s="42" t="n"/>
      <c r="M55" s="42" t="n"/>
      <c r="N55" s="43" t="n">
        <v>775.15999999999997</v>
      </c>
      <c r="O55" s="9" t="s">
        <v>63</v>
      </c>
      <c r="S55" s="0" t="n"/>
      <c r="T55" s="0" t="n"/>
      <c r="U55" s="0" t="n"/>
      <c r="V55" s="0" t="n"/>
    </row>
    <row outlineLevel="0" r="56">
      <c r="A56" s="33" t="n"/>
      <c r="B56" s="33" t="n"/>
      <c r="C56" s="25" t="n"/>
      <c r="D56" s="33" t="n"/>
      <c r="E56" s="47" t="s">
        <v>64</v>
      </c>
      <c r="F56" s="25" t="n"/>
      <c r="G56" s="33" t="n"/>
      <c r="H56" s="33" t="n"/>
      <c r="I56" s="25" t="n"/>
      <c r="J56" s="50" t="n"/>
      <c r="K56" s="33" t="n"/>
      <c r="L56" s="25" t="n"/>
      <c r="M56" s="27" t="n">
        <v>46071</v>
      </c>
      <c r="N56" s="36" t="n">
        <v>-543.38</v>
      </c>
      <c r="O56" s="9" t="n"/>
      <c r="S56" s="0" t="n"/>
      <c r="T56" s="0" t="n"/>
      <c r="U56" s="0" t="n"/>
      <c r="V56" s="0" t="n"/>
    </row>
    <row outlineLevel="0" r="57">
      <c r="A57" s="33" t="n"/>
      <c r="B57" s="47" t="s">
        <v>65</v>
      </c>
      <c r="C57" s="34" t="n"/>
      <c r="D57" s="33" t="n"/>
      <c r="E57" s="33" t="n"/>
      <c r="F57" s="34" t="n"/>
      <c r="G57" s="33" t="n"/>
      <c r="H57" s="33" t="n"/>
      <c r="I57" s="34" t="n"/>
      <c r="J57" s="33" t="n"/>
      <c r="K57" s="33" t="n"/>
      <c r="L57" s="34" t="n"/>
      <c r="M57" s="34" t="n"/>
      <c r="N57" s="36" t="n">
        <v>-586.36000000000001</v>
      </c>
      <c r="O57" s="45" t="s">
        <v>66</v>
      </c>
      <c r="S57" s="0" t="n"/>
      <c r="T57" s="0" t="n"/>
      <c r="U57" s="0" t="n"/>
      <c r="V57" s="0" t="n"/>
    </row>
    <row outlineLevel="0" r="58">
      <c r="A58" s="33" t="n"/>
      <c r="B58" s="33" t="n"/>
      <c r="C58" s="34" t="n"/>
      <c r="D58" s="33" t="n"/>
      <c r="E58" s="33" t="n"/>
      <c r="F58" s="34" t="n"/>
      <c r="G58" s="33" t="n"/>
      <c r="H58" s="33" t="n"/>
      <c r="I58" s="34" t="n"/>
      <c r="J58" s="33" t="n"/>
      <c r="K58" s="44" t="s">
        <v>67</v>
      </c>
      <c r="L58" s="34" t="n"/>
      <c r="M58" s="34" t="n"/>
      <c r="N58" s="36" t="n">
        <v>-447.64999999999998</v>
      </c>
      <c r="O58" s="45" t="s">
        <v>68</v>
      </c>
      <c r="S58" s="0" t="n"/>
      <c r="T58" s="0" t="n"/>
      <c r="U58" s="0" t="n"/>
      <c r="V58" s="0" t="n"/>
    </row>
    <row outlineLevel="0" r="59">
      <c r="A59" s="33" t="n"/>
      <c r="B59" s="33" t="n"/>
      <c r="C59" s="34" t="n"/>
      <c r="D59" s="33" t="n"/>
      <c r="E59" s="33" t="n"/>
      <c r="F59" s="34" t="n"/>
      <c r="G59" s="19" t="s">
        <v>59</v>
      </c>
      <c r="H59" s="33" t="n"/>
      <c r="I59" s="34" t="n"/>
      <c r="J59" s="33" t="n"/>
      <c r="K59" s="33" t="n"/>
      <c r="L59" s="34" t="n"/>
      <c r="M59" s="34" t="n"/>
      <c r="N59" s="36" t="n"/>
      <c r="O59" s="9" t="n"/>
      <c r="S59" s="0" t="n"/>
      <c r="T59" s="0" t="n"/>
      <c r="U59" s="0" t="n"/>
      <c r="V59" s="0" t="n"/>
    </row>
    <row outlineLevel="0" r="60">
      <c r="A60" s="33" t="n"/>
      <c r="B60" s="33" t="n"/>
      <c r="C60" s="34" t="n"/>
      <c r="D60" s="33" t="n"/>
      <c r="E60" s="33" t="n"/>
      <c r="F60" s="34" t="n"/>
      <c r="G60" s="33" t="n"/>
      <c r="H60" s="33" t="n"/>
      <c r="I60" s="34" t="n"/>
      <c r="J60" s="19" t="s">
        <v>59</v>
      </c>
      <c r="K60" s="33" t="n"/>
      <c r="L60" s="34" t="n"/>
      <c r="M60" s="34" t="n"/>
      <c r="N60" s="36" t="n"/>
      <c r="O60" s="9" t="n"/>
      <c r="S60" s="0" t="n"/>
      <c r="T60" s="0" t="n"/>
      <c r="U60" s="0" t="n"/>
      <c r="V60" s="0" t="n"/>
    </row>
    <row outlineLevel="0" r="61">
      <c r="A61" s="19" t="s">
        <v>33</v>
      </c>
      <c r="B61" s="33" t="n"/>
      <c r="C61" s="34" t="n"/>
      <c r="D61" s="33" t="n"/>
      <c r="E61" s="33" t="n"/>
      <c r="F61" s="34" t="n"/>
      <c r="G61" s="33" t="n"/>
      <c r="H61" s="33" t="n"/>
      <c r="I61" s="34" t="n"/>
      <c r="J61" s="33" t="n"/>
      <c r="K61" s="33" t="n"/>
      <c r="L61" s="34" t="n"/>
      <c r="M61" s="34" t="n"/>
      <c r="N61" s="36" t="n"/>
      <c r="O61" s="53" t="n"/>
      <c r="S61" s="0" t="n"/>
      <c r="T61" s="0" t="n"/>
      <c r="U61" s="0" t="n"/>
      <c r="V61" s="0" t="n"/>
    </row>
    <row outlineLevel="0" r="62">
      <c r="A62" s="33" t="n"/>
      <c r="B62" s="33" t="n"/>
      <c r="C62" s="34" t="n"/>
      <c r="D62" s="36" t="s">
        <v>46</v>
      </c>
      <c r="E62" s="33" t="n"/>
      <c r="F62" s="34" t="n"/>
      <c r="G62" s="33" t="n"/>
      <c r="H62" s="33" t="n"/>
      <c r="I62" s="34" t="n"/>
      <c r="J62" s="33" t="n"/>
      <c r="K62" s="33" t="n"/>
      <c r="L62" s="34" t="n"/>
      <c r="M62" s="34" t="n"/>
      <c r="N62" s="36" t="n"/>
      <c r="O62" s="9" t="n"/>
      <c r="S62" s="0" t="n"/>
      <c r="T62" s="0" t="n"/>
      <c r="U62" s="0" t="n"/>
      <c r="V62" s="0" t="n"/>
    </row>
    <row outlineLevel="0" r="63">
      <c r="A63" s="41" t="n"/>
      <c r="B63" s="41" t="n"/>
      <c r="C63" s="42" t="n"/>
      <c r="D63" s="54" t="n"/>
      <c r="E63" s="55" t="n"/>
      <c r="F63" s="42" t="n"/>
      <c r="G63" s="48" t="s">
        <v>69</v>
      </c>
      <c r="H63" s="41" t="n"/>
      <c r="I63" s="42" t="n"/>
      <c r="J63" s="41" t="n"/>
      <c r="K63" s="41" t="n"/>
      <c r="L63" s="42" t="n"/>
      <c r="M63" s="42" t="n"/>
      <c r="N63" s="43" t="n">
        <v>626.63</v>
      </c>
      <c r="O63" s="9" t="n"/>
      <c r="S63" s="0" t="n"/>
      <c r="T63" s="0" t="n"/>
      <c r="U63" s="0" t="n"/>
      <c r="V63" s="0" t="n"/>
    </row>
    <row outlineLevel="0" r="64">
      <c r="A64" s="33" t="n"/>
      <c r="B64" s="33" t="n"/>
      <c r="C64" s="25" t="n"/>
      <c r="D64" s="33" t="n"/>
      <c r="E64" s="33" t="n"/>
      <c r="F64" s="25" t="n"/>
      <c r="G64" s="33" t="n"/>
      <c r="H64" s="33" t="n"/>
      <c r="I64" s="25" t="n"/>
      <c r="J64" s="33" t="s">
        <v>70</v>
      </c>
      <c r="K64" s="33" t="n"/>
      <c r="L64" s="25" t="n"/>
      <c r="M64" s="27" t="n">
        <v>46072</v>
      </c>
      <c r="N64" s="28" t="n"/>
      <c r="O64" s="9" t="n"/>
      <c r="S64" s="0" t="n"/>
      <c r="T64" s="0" t="n"/>
      <c r="U64" s="0" t="n"/>
      <c r="V64" s="0" t="n"/>
    </row>
    <row outlineLevel="0" r="65">
      <c r="A65" s="33" t="n"/>
      <c r="B65" s="33" t="n"/>
      <c r="C65" s="34" t="n"/>
      <c r="D65" s="33" t="n"/>
      <c r="E65" s="33" t="n"/>
      <c r="F65" s="34" t="n"/>
      <c r="G65" s="33" t="n"/>
      <c r="H65" s="33" t="n"/>
      <c r="I65" s="34" t="n"/>
      <c r="J65" s="50" t="n"/>
      <c r="K65" s="33" t="n"/>
      <c r="L65" s="56" t="s">
        <v>71</v>
      </c>
      <c r="M65" s="34" t="n"/>
      <c r="N65" s="36" t="n"/>
      <c r="O65" s="9" t="n"/>
      <c r="S65" s="0" t="n"/>
      <c r="T65" s="0" t="n"/>
      <c r="U65" s="0" t="n"/>
      <c r="V65" s="0" t="n"/>
    </row>
    <row outlineLevel="0" r="66">
      <c r="A66" s="35" t="s">
        <v>72</v>
      </c>
      <c r="B66" s="33" t="n"/>
      <c r="C66" s="34" t="n"/>
      <c r="D66" s="33" t="n"/>
      <c r="E66" s="33" t="n"/>
      <c r="F66" s="34" t="n"/>
      <c r="G66" s="33" t="n"/>
      <c r="H66" s="33" t="n"/>
      <c r="I66" s="34" t="n"/>
      <c r="J66" s="33" t="n"/>
      <c r="K66" s="33" t="n"/>
      <c r="L66" s="34" t="n"/>
      <c r="M66" s="34" t="n"/>
      <c r="N66" s="36" t="n">
        <v>516.77999999999997</v>
      </c>
      <c r="O66" s="9" t="s">
        <v>73</v>
      </c>
      <c r="S66" s="0" t="n"/>
      <c r="T66" s="0" t="n"/>
      <c r="U66" s="0" t="n"/>
      <c r="V66" s="0" t="n"/>
    </row>
    <row outlineLevel="0" r="67">
      <c r="A67" s="33" t="n"/>
      <c r="B67" s="33" t="n"/>
      <c r="C67" s="34" t="n"/>
      <c r="D67" s="35" t="s">
        <v>74</v>
      </c>
      <c r="E67" s="33" t="n"/>
      <c r="F67" s="34" t="n"/>
      <c r="G67" s="33" t="n"/>
      <c r="H67" s="33" t="n"/>
      <c r="I67" s="34" t="n"/>
      <c r="J67" s="33" t="n"/>
      <c r="K67" s="33" t="n"/>
      <c r="L67" s="34" t="n"/>
      <c r="M67" s="34" t="n"/>
      <c r="N67" s="36" t="n">
        <v>569.19000000000005</v>
      </c>
      <c r="O67" s="9" t="s">
        <v>73</v>
      </c>
      <c r="S67" s="0" t="n"/>
      <c r="T67" s="0" t="n"/>
      <c r="U67" s="0" t="n"/>
      <c r="V67" s="0" t="n"/>
    </row>
    <row outlineLevel="0" r="68">
      <c r="A68" s="33" t="n"/>
      <c r="B68" s="33" t="n"/>
      <c r="C68" s="34" t="n"/>
      <c r="D68" s="33" t="n"/>
      <c r="E68" s="33" t="n"/>
      <c r="F68" s="34" t="n"/>
      <c r="G68" s="47" t="s">
        <v>75</v>
      </c>
      <c r="H68" s="33" t="n"/>
      <c r="I68" s="34" t="n"/>
      <c r="J68" s="33" t="n"/>
      <c r="K68" s="33" t="n"/>
      <c r="L68" s="34" t="n"/>
      <c r="M68" s="34" t="n"/>
      <c r="N68" s="36" t="n">
        <v>-532.98000000000002</v>
      </c>
      <c r="O68" s="9" t="n"/>
      <c r="S68" s="0" t="n"/>
      <c r="T68" s="0" t="n"/>
      <c r="U68" s="0" t="n"/>
      <c r="V68" s="0" t="n"/>
    </row>
    <row outlineLevel="0" r="69">
      <c r="A69" s="23" t="s">
        <v>35</v>
      </c>
      <c r="B69" s="23" t="n"/>
      <c r="C69" s="25" t="n"/>
      <c r="D69" s="23" t="n"/>
      <c r="E69" s="23" t="n"/>
      <c r="F69" s="25" t="n"/>
      <c r="G69" s="23" t="n"/>
      <c r="H69" s="23" t="n"/>
      <c r="I69" s="25" t="n"/>
      <c r="J69" s="23" t="n"/>
      <c r="K69" s="23" t="n"/>
      <c r="L69" s="25" t="n"/>
      <c r="M69" s="27" t="n">
        <v>46073</v>
      </c>
      <c r="N69" s="28" t="n"/>
      <c r="O69" s="9" t="n"/>
      <c r="S69" s="0" t="n"/>
      <c r="T69" s="0" t="n"/>
      <c r="U69" s="0" t="n"/>
      <c r="V69" s="0" t="n"/>
    </row>
    <row outlineLevel="0" r="70">
      <c r="A70" s="33" t="n"/>
      <c r="B70" s="33" t="n"/>
      <c r="C70" s="56" t="s">
        <v>76</v>
      </c>
      <c r="D70" s="33" t="n"/>
      <c r="E70" s="33" t="n"/>
      <c r="F70" s="34" t="n"/>
      <c r="G70" s="33" t="n"/>
      <c r="H70" s="33" t="n"/>
      <c r="I70" s="34" t="n"/>
      <c r="J70" s="50" t="n"/>
      <c r="K70" s="33" t="n"/>
      <c r="L70" s="57" t="n"/>
      <c r="M70" s="34" t="n"/>
      <c r="N70" s="36" t="n">
        <v>839.28999999999996</v>
      </c>
      <c r="O70" s="9" t="n"/>
      <c r="S70" s="0" t="n"/>
      <c r="T70" s="0" t="n"/>
      <c r="U70" s="0" t="n"/>
      <c r="V70" s="0" t="n"/>
    </row>
    <row outlineLevel="0" r="71">
      <c r="A71" s="39" t="n"/>
      <c r="B71" s="33" t="n"/>
      <c r="C71" s="34" t="n"/>
      <c r="D71" s="33" t="n"/>
      <c r="E71" s="33" t="n"/>
      <c r="F71" s="34" t="n"/>
      <c r="G71" s="33" t="n"/>
      <c r="H71" s="33" t="n"/>
      <c r="I71" s="34" t="n"/>
      <c r="J71" s="33" t="n"/>
      <c r="K71" s="35" t="s">
        <v>77</v>
      </c>
      <c r="L71" s="34" t="n"/>
      <c r="M71" s="34" t="n"/>
      <c r="N71" s="36" t="n">
        <v>304.56</v>
      </c>
      <c r="O71" s="9" t="s">
        <v>78</v>
      </c>
      <c r="S71" s="0" t="n"/>
      <c r="T71" s="0" t="n"/>
      <c r="U71" s="0" t="n"/>
      <c r="V71" s="0" t="n"/>
    </row>
    <row outlineLevel="0" r="72">
      <c r="A72" s="33" t="n"/>
      <c r="B72" s="33" t="n"/>
      <c r="C72" s="34" t="n"/>
      <c r="D72" s="39" t="n"/>
      <c r="E72" s="33" t="n"/>
      <c r="F72" s="34" t="n"/>
      <c r="G72" s="33" t="n"/>
      <c r="H72" s="33" t="n"/>
      <c r="I72" s="34" t="n"/>
      <c r="J72" s="19" t="s">
        <v>59</v>
      </c>
      <c r="K72" s="33" t="n"/>
      <c r="L72" s="34" t="n"/>
      <c r="M72" s="34" t="n"/>
      <c r="N72" s="36" t="n"/>
      <c r="O72" s="9" t="n"/>
      <c r="S72" s="0" t="n"/>
      <c r="T72" s="0" t="n"/>
      <c r="U72" s="0" t="n"/>
      <c r="V72" s="0" t="n"/>
    </row>
    <row outlineLevel="0" r="73">
      <c r="A73" s="19" t="s">
        <v>55</v>
      </c>
      <c r="B73" s="33" t="n"/>
      <c r="C73" s="34" t="n"/>
      <c r="D73" s="33" t="n"/>
      <c r="E73" s="33" t="n"/>
      <c r="F73" s="34" t="n"/>
      <c r="G73" s="39" t="n"/>
      <c r="H73" s="33" t="n"/>
      <c r="I73" s="34" t="n"/>
      <c r="J73" s="33" t="n"/>
      <c r="K73" s="33" t="n"/>
      <c r="L73" s="34" t="n"/>
      <c r="M73" s="34" t="n"/>
      <c r="N73" s="36" t="n"/>
      <c r="O73" s="9" t="n"/>
      <c r="S73" s="0" t="n"/>
      <c r="T73" s="0" t="n"/>
      <c r="U73" s="0" t="n"/>
      <c r="V73" s="0" t="n"/>
    </row>
    <row outlineLevel="0" r="74">
      <c r="A74" s="33" t="n"/>
      <c r="B74" s="33" t="n"/>
      <c r="C74" s="34" t="s">
        <v>79</v>
      </c>
      <c r="D74" s="33" t="n"/>
      <c r="E74" s="33" t="n"/>
      <c r="F74" s="34" t="n"/>
      <c r="G74" s="33" t="n"/>
      <c r="H74" s="33" t="n"/>
      <c r="I74" s="34" t="n"/>
      <c r="J74" s="33" t="n"/>
      <c r="K74" s="33" t="n"/>
      <c r="L74" s="34" t="n"/>
      <c r="M74" s="34" t="n"/>
      <c r="N74" s="36" t="n"/>
      <c r="O74" s="9" t="n"/>
      <c r="S74" s="0" t="n"/>
      <c r="T74" s="0" t="n"/>
      <c r="U74" s="0" t="n"/>
      <c r="V74" s="0" t="n"/>
    </row>
    <row outlineLevel="0" r="75">
      <c r="A75" s="41" t="n"/>
      <c r="B75" s="41" t="n"/>
      <c r="C75" s="42" t="s">
        <v>80</v>
      </c>
      <c r="D75" s="41" t="n"/>
      <c r="E75" s="41" t="n"/>
      <c r="F75" s="42" t="n"/>
      <c r="G75" s="41" t="n"/>
      <c r="H75" s="41" t="n"/>
      <c r="I75" s="42" t="n"/>
      <c r="J75" s="41" t="n"/>
      <c r="K75" s="41" t="n"/>
      <c r="L75" s="42" t="n"/>
      <c r="M75" s="42" t="n"/>
      <c r="N75" s="43" t="n"/>
      <c r="S75" s="0" t="n"/>
      <c r="T75" s="0" t="n"/>
      <c r="U75" s="0" t="n"/>
      <c r="V75" s="0" t="n"/>
    </row>
    <row outlineLevel="0" r="76">
      <c r="A76" s="58" t="s">
        <v>81</v>
      </c>
      <c r="N76" s="0" t="n"/>
      <c r="S76" s="0" t="n"/>
      <c r="T76" s="0" t="n"/>
      <c r="U76" s="0" t="n"/>
      <c r="V76" s="0" t="n"/>
    </row>
    <row outlineLevel="0" r="77">
      <c r="N77" s="0" t="s"/>
      <c r="S77" s="0" t="n"/>
      <c r="T77" s="0" t="n"/>
      <c r="U77" s="0" t="n"/>
      <c r="V77" s="0" t="n"/>
    </row>
    <row outlineLevel="0" r="78">
      <c r="A78" s="59" t="s">
        <v>82</v>
      </c>
      <c r="B78" s="60" t="s"/>
      <c r="C78" s="61" t="s"/>
      <c r="D78" s="62" t="s">
        <v>83</v>
      </c>
      <c r="E78" s="63" t="s"/>
      <c r="F78" s="64" t="s"/>
      <c r="G78" s="62" t="s">
        <v>84</v>
      </c>
      <c r="H78" s="65" t="s"/>
      <c r="I78" s="66" t="s"/>
      <c r="J78" s="62" t="s">
        <v>85</v>
      </c>
      <c r="K78" s="67" t="s"/>
      <c r="L78" s="68" t="s"/>
      <c r="M78" s="69" t="n"/>
      <c r="N78" s="69" t="n"/>
      <c r="S78" s="0" t="n"/>
      <c r="T78" s="0" t="n"/>
      <c r="U78" s="0" t="n"/>
      <c r="V78" s="0" t="n"/>
    </row>
    <row outlineLevel="0" r="79">
      <c r="A79" s="70" t="s"/>
      <c r="B79" s="71" t="s"/>
      <c r="C79" s="72" t="s"/>
      <c r="D79" s="73" t="s"/>
      <c r="E79" s="74" t="s"/>
      <c r="F79" s="75" t="s"/>
      <c r="G79" s="76" t="s"/>
      <c r="H79" s="77" t="s"/>
      <c r="I79" s="78" t="s"/>
      <c r="J79" s="79" t="s"/>
      <c r="K79" s="80" t="s"/>
      <c r="L79" s="81" t="s"/>
      <c r="M79" s="43" t="n"/>
      <c r="N79" s="43" t="n"/>
      <c r="S79" s="0" t="n"/>
      <c r="T79" s="0" t="n"/>
      <c r="U79" s="0" t="n"/>
      <c r="V79" s="0" t="n"/>
    </row>
    <row customFormat="true" ht="15" outlineLevel="0" r="80" s="82">
      <c r="A80" s="83" t="n"/>
      <c r="B80" s="83" t="n"/>
      <c r="C80" s="84" t="n"/>
      <c r="D80" s="83" t="n"/>
      <c r="E80" s="83" t="n"/>
      <c r="F80" s="84" t="n"/>
      <c r="G80" s="83" t="n"/>
      <c r="H80" s="83" t="n"/>
      <c r="I80" s="84" t="n"/>
      <c r="J80" s="83" t="n"/>
      <c r="K80" s="83" t="n"/>
      <c r="L80" s="84" t="n"/>
      <c r="M80" s="84" t="n"/>
      <c r="N80" s="85" t="n"/>
      <c r="O80" s="82" t="n"/>
      <c r="P80" s="82" t="n"/>
      <c r="Q80" s="82" t="n"/>
      <c r="R80" s="82" t="n"/>
      <c r="S80" s="82" t="n"/>
      <c r="T80" s="82" t="n"/>
      <c r="U80" s="82" t="n"/>
      <c r="V80" s="82" t="n"/>
      <c r="W80" s="82" t="n"/>
    </row>
    <row outlineLevel="0" r="81">
      <c r="A81" s="33" t="n"/>
      <c r="B81" s="33" t="n"/>
      <c r="C81" s="34" t="n"/>
      <c r="D81" s="33" t="n"/>
      <c r="E81" s="33" t="n"/>
      <c r="F81" s="56" t="s">
        <v>86</v>
      </c>
      <c r="G81" s="33" t="n"/>
      <c r="H81" s="33" t="n"/>
      <c r="I81" s="34" t="n"/>
      <c r="J81" s="50" t="n"/>
      <c r="K81" s="33" t="n"/>
      <c r="L81" s="57" t="n"/>
      <c r="M81" s="34" t="n"/>
      <c r="N81" s="36" t="n">
        <v>773.07000000000005</v>
      </c>
      <c r="S81" s="0" t="n"/>
      <c r="T81" s="0" t="n"/>
      <c r="U81" s="0" t="n"/>
      <c r="V81" s="0" t="n"/>
    </row>
    <row outlineLevel="0" r="82">
      <c r="A82" s="39" t="n"/>
      <c r="B82" s="33" t="n"/>
      <c r="C82" s="34" t="n"/>
      <c r="D82" s="33" t="n"/>
      <c r="E82" s="33" t="n"/>
      <c r="F82" s="34" t="n"/>
      <c r="G82" s="33" t="n"/>
      <c r="H82" s="33" t="n"/>
      <c r="I82" s="34" t="n"/>
      <c r="J82" s="35" t="s">
        <v>87</v>
      </c>
      <c r="K82" s="33" t="n"/>
      <c r="L82" s="34" t="n"/>
      <c r="M82" s="34" t="n"/>
      <c r="N82" s="36" t="n">
        <f aca="false" ca="false" dt2D="false" dtr="false" t="normal">640.52-3.96</f>
        <v>636.55999999999995</v>
      </c>
      <c r="S82" s="0" t="n"/>
      <c r="T82" s="0" t="n"/>
      <c r="U82" s="0" t="n"/>
      <c r="V82" s="0" t="n"/>
    </row>
    <row outlineLevel="0" r="83">
      <c r="A83" s="33" t="n"/>
      <c r="B83" s="33" t="n"/>
      <c r="C83" s="34" t="n"/>
      <c r="D83" s="39" t="n"/>
      <c r="E83" s="33" t="n"/>
      <c r="F83" s="34" t="n"/>
      <c r="G83" s="44" t="s">
        <v>88</v>
      </c>
      <c r="H83" s="33" t="n"/>
      <c r="I83" s="34" t="n"/>
      <c r="J83" s="33" t="n"/>
      <c r="K83" s="33" t="n"/>
      <c r="L83" s="34" t="n"/>
      <c r="M83" s="34" t="n"/>
      <c r="N83" s="36" t="n">
        <v>-606.33000000000004</v>
      </c>
      <c r="S83" s="0" t="n"/>
      <c r="T83" s="0" t="n"/>
      <c r="U83" s="0" t="n"/>
      <c r="V83" s="0" t="n"/>
    </row>
    <row outlineLevel="0" r="84">
      <c r="A84" s="33" t="n"/>
      <c r="B84" s="33" t="n"/>
      <c r="C84" s="34" t="n"/>
      <c r="D84" s="33" t="n"/>
      <c r="E84" s="47" t="s">
        <v>89</v>
      </c>
      <c r="F84" s="34" t="n"/>
      <c r="G84" s="39" t="n"/>
      <c r="H84" s="33" t="n"/>
      <c r="I84" s="34" t="n"/>
      <c r="J84" s="33" t="n"/>
      <c r="K84" s="33" t="n"/>
      <c r="L84" s="34" t="n"/>
      <c r="M84" s="34" t="n"/>
      <c r="N84" s="36" t="n">
        <f aca="false" ca="false" dt2D="false" dtr="false" t="normal">-571-21.09-0.35</f>
        <v>-592.44000000000005</v>
      </c>
      <c r="S84" s="0" t="n"/>
      <c r="T84" s="0" t="n"/>
      <c r="U84" s="0" t="n"/>
      <c r="V84" s="0" t="n"/>
    </row>
    <row outlineLevel="0" r="85">
      <c r="A85" s="41" t="n"/>
      <c r="B85" s="41" t="n"/>
      <c r="C85" s="42" t="n"/>
      <c r="D85" s="41" t="n"/>
      <c r="E85" s="41" t="n"/>
      <c r="F85" s="42" t="n"/>
      <c r="G85" s="48" t="s">
        <v>90</v>
      </c>
      <c r="H85" s="41" t="n"/>
      <c r="I85" s="42" t="n"/>
      <c r="J85" s="41" t="n"/>
      <c r="K85" s="41" t="n"/>
      <c r="L85" s="42" t="n"/>
      <c r="M85" s="42" t="n"/>
      <c r="N85" s="43" t="n">
        <f aca="false" ca="false" dt2D="false" dtr="false" t="normal">696.99-8.68</f>
        <v>688.31000000000006</v>
      </c>
      <c r="S85" s="0" t="n"/>
      <c r="T85" s="0" t="n"/>
      <c r="U85" s="0" t="n"/>
      <c r="V85" s="0" t="n"/>
    </row>
    <row outlineLevel="0" r="86">
      <c r="A86" s="33" t="s">
        <v>91</v>
      </c>
      <c r="B86" s="33" t="n"/>
      <c r="C86" s="25" t="n"/>
      <c r="D86" s="33" t="n"/>
      <c r="E86" s="33" t="n"/>
      <c r="F86" s="25" t="n"/>
      <c r="G86" s="33" t="n"/>
      <c r="H86" s="33" t="n"/>
      <c r="I86" s="25" t="n"/>
      <c r="J86" s="33" t="n"/>
      <c r="K86" s="33" t="n"/>
      <c r="L86" s="25" t="n"/>
      <c r="M86" s="27" t="n">
        <v>46077</v>
      </c>
      <c r="N86" s="69" t="n">
        <v>-358.01999999999998</v>
      </c>
      <c r="O86" s="0" t="s">
        <v>92</v>
      </c>
      <c r="S86" s="0" t="n"/>
      <c r="T86" s="0" t="n"/>
      <c r="U86" s="0" t="n"/>
      <c r="V86" s="0" t="n"/>
    </row>
    <row outlineLevel="0" r="87">
      <c r="A87" s="33" t="n"/>
      <c r="B87" s="33" t="n"/>
      <c r="C87" s="86" t="s">
        <v>93</v>
      </c>
      <c r="D87" s="33" t="n"/>
      <c r="E87" s="33" t="n"/>
      <c r="F87" s="34" t="n"/>
      <c r="G87" s="33" t="n"/>
      <c r="H87" s="33" t="n"/>
      <c r="I87" s="34" t="n"/>
      <c r="J87" s="33" t="n"/>
      <c r="K87" s="33" t="n"/>
      <c r="L87" s="34" t="n"/>
      <c r="M87" s="34" t="n"/>
      <c r="N87" s="36" t="n">
        <v>-581.11000000000001</v>
      </c>
      <c r="S87" s="0" t="n"/>
      <c r="T87" s="0" t="n"/>
      <c r="U87" s="0" t="n"/>
      <c r="V87" s="0" t="n"/>
    </row>
    <row outlineLevel="0" r="88">
      <c r="A88" s="33" t="n"/>
      <c r="B88" s="33" t="n"/>
      <c r="C88" s="34" t="n"/>
      <c r="D88" s="33" t="n"/>
      <c r="E88" s="35" t="s">
        <v>94</v>
      </c>
      <c r="F88" s="34" t="n"/>
      <c r="G88" s="33" t="n"/>
      <c r="H88" s="33" t="n"/>
      <c r="I88" s="34" t="n"/>
      <c r="J88" s="33" t="n"/>
      <c r="K88" s="33" t="n"/>
      <c r="L88" s="34" t="n"/>
      <c r="M88" s="34" t="n"/>
      <c r="N88" s="36" t="n">
        <v>746.14999999999998</v>
      </c>
      <c r="S88" s="0" t="n"/>
      <c r="T88" s="0" t="n"/>
      <c r="U88" s="0" t="n"/>
      <c r="V88" s="0" t="n"/>
    </row>
    <row outlineLevel="0" r="89">
      <c r="A89" s="33" t="n"/>
      <c r="B89" s="33" t="n"/>
      <c r="C89" s="34" t="n"/>
      <c r="D89" s="33" t="n"/>
      <c r="E89" s="33" t="n"/>
      <c r="F89" s="34" t="n"/>
      <c r="G89" s="33" t="n"/>
      <c r="H89" s="47" t="s">
        <v>95</v>
      </c>
      <c r="I89" s="34" t="n"/>
      <c r="J89" s="33" t="n"/>
      <c r="K89" s="33" t="n"/>
      <c r="L89" s="34" t="n"/>
      <c r="M89" s="34" t="n"/>
      <c r="N89" s="36" t="n">
        <v>-600.36000000000001</v>
      </c>
      <c r="S89" s="0" t="n"/>
      <c r="T89" s="0" t="n"/>
      <c r="U89" s="0" t="n"/>
      <c r="V89" s="0" t="n"/>
    </row>
    <row outlineLevel="0" r="90">
      <c r="A90" s="44" t="s">
        <v>96</v>
      </c>
      <c r="B90" s="33" t="n"/>
      <c r="C90" s="34" t="n"/>
      <c r="D90" s="33" t="n"/>
      <c r="E90" s="33" t="n"/>
      <c r="F90" s="34" t="n"/>
      <c r="G90" s="33" t="n"/>
      <c r="H90" s="33" t="n"/>
      <c r="I90" s="34" t="n"/>
      <c r="J90" s="33" t="n"/>
      <c r="K90" s="33" t="n"/>
      <c r="L90" s="34" t="n"/>
      <c r="M90" s="34" t="n"/>
      <c r="N90" s="36" t="n">
        <v>-566.19000000000005</v>
      </c>
      <c r="S90" s="0" t="n"/>
      <c r="T90" s="0" t="n"/>
      <c r="U90" s="0" t="n"/>
      <c r="V90" s="0" t="n"/>
    </row>
    <row outlineLevel="0" r="91">
      <c r="A91" s="33" t="n"/>
      <c r="B91" s="33" t="n"/>
      <c r="C91" s="34" t="n"/>
      <c r="D91" s="33" t="n"/>
      <c r="E91" s="33" t="n"/>
      <c r="F91" s="34" t="n"/>
      <c r="G91" s="47" t="s">
        <v>97</v>
      </c>
      <c r="H91" s="33" t="n"/>
      <c r="I91" s="34" t="n"/>
      <c r="J91" s="50" t="n"/>
      <c r="K91" s="33" t="n"/>
      <c r="L91" s="57" t="n"/>
      <c r="M91" s="34" t="n"/>
      <c r="N91" s="36" t="n">
        <v>-622.50999999999999</v>
      </c>
      <c r="S91" s="0" t="n"/>
      <c r="T91" s="0" t="n"/>
      <c r="U91" s="0" t="n"/>
      <c r="V91" s="0" t="n"/>
    </row>
    <row outlineLevel="0" r="92">
      <c r="A92" s="47" t="s">
        <v>98</v>
      </c>
      <c r="B92" s="33" t="n"/>
      <c r="C92" s="34" t="n"/>
      <c r="D92" s="33" t="n"/>
      <c r="E92" s="33" t="n"/>
      <c r="F92" s="34" t="n"/>
      <c r="G92" s="33" t="n"/>
      <c r="H92" s="33" t="n"/>
      <c r="I92" s="34" t="n"/>
      <c r="J92" s="33" t="n"/>
      <c r="K92" s="33" t="n"/>
      <c r="L92" s="34" t="n"/>
      <c r="M92" s="34" t="n"/>
      <c r="N92" s="36" t="n">
        <v>-573.64999999999998</v>
      </c>
      <c r="O92" s="45" t="s">
        <v>99</v>
      </c>
      <c r="S92" s="0" t="n"/>
      <c r="T92" s="0" t="n"/>
      <c r="U92" s="0" t="n"/>
      <c r="V92" s="0" t="n"/>
    </row>
    <row customFormat="true" ht="15" outlineLevel="0" r="93" s="87">
      <c r="A93" s="88" t="n"/>
      <c r="B93" s="88" t="n"/>
      <c r="C93" s="89" t="n"/>
      <c r="D93" s="90" t="n"/>
      <c r="E93" s="88" t="n"/>
      <c r="F93" s="89" t="n"/>
      <c r="G93" s="88" t="n"/>
      <c r="H93" s="88" t="n"/>
      <c r="I93" s="89" t="n"/>
      <c r="J93" s="35" t="s">
        <v>100</v>
      </c>
      <c r="K93" s="88" t="n"/>
      <c r="L93" s="89" t="n"/>
      <c r="M93" s="89" t="n"/>
      <c r="N93" s="91" t="n">
        <v>640.51999999999998</v>
      </c>
      <c r="O93" s="92" t="s">
        <v>101</v>
      </c>
      <c r="P93" s="87" t="n"/>
      <c r="Q93" s="87" t="n"/>
      <c r="R93" s="87" t="n"/>
      <c r="S93" s="87" t="n"/>
      <c r="T93" s="87" t="n"/>
      <c r="U93" s="87" t="n"/>
      <c r="V93" s="87" t="n"/>
      <c r="W93" s="87" t="n"/>
    </row>
    <row outlineLevel="0" r="94">
      <c r="A94" s="35" t="s">
        <v>102</v>
      </c>
      <c r="B94" s="33" t="n"/>
      <c r="C94" s="34" t="n"/>
      <c r="D94" s="33" t="n"/>
      <c r="E94" s="33" t="n"/>
      <c r="F94" s="34" t="n"/>
      <c r="G94" s="39" t="n"/>
      <c r="H94" s="33" t="n"/>
      <c r="I94" s="34" t="n"/>
      <c r="J94" s="33" t="n"/>
      <c r="K94" s="33" t="n"/>
      <c r="L94" s="34" t="n"/>
      <c r="M94" s="34" t="n"/>
      <c r="N94" s="36" t="n">
        <v>148.91999999999999</v>
      </c>
      <c r="O94" s="0" t="s">
        <v>103</v>
      </c>
      <c r="S94" s="0" t="n"/>
      <c r="T94" s="0" t="n"/>
      <c r="U94" s="0" t="n"/>
      <c r="V94" s="0" t="n"/>
    </row>
    <row outlineLevel="0" r="95">
      <c r="A95" s="33" t="n"/>
      <c r="B95" s="33" t="n"/>
      <c r="C95" s="34" t="n"/>
      <c r="D95" s="47" t="s">
        <v>104</v>
      </c>
      <c r="E95" s="33" t="n"/>
      <c r="F95" s="34" t="n"/>
      <c r="G95" s="33" t="n"/>
      <c r="H95" s="33" t="n"/>
      <c r="I95" s="34" t="n"/>
      <c r="J95" s="33" t="n"/>
      <c r="K95" s="33" t="n"/>
      <c r="L95" s="34" t="n"/>
      <c r="M95" s="34" t="n"/>
      <c r="N95" s="36" t="n">
        <f aca="false" ca="false" dt2D="false" dtr="false" t="normal">-571.35-21.09</f>
        <v>-592.44000000000005</v>
      </c>
      <c r="S95" s="0" t="n"/>
      <c r="T95" s="0" t="n"/>
      <c r="U95" s="0" t="n"/>
      <c r="V95" s="0" t="n"/>
    </row>
    <row outlineLevel="0" r="96">
      <c r="A96" s="33" t="n"/>
      <c r="B96" s="33" t="n"/>
      <c r="C96" s="34" t="n"/>
      <c r="D96" s="33" t="n"/>
      <c r="E96" s="33" t="n"/>
      <c r="F96" s="34" t="n"/>
      <c r="G96" s="33" t="n"/>
      <c r="H96" s="33" t="n"/>
      <c r="I96" s="93" t="s">
        <v>105</v>
      </c>
      <c r="J96" s="33" t="n"/>
      <c r="K96" s="33" t="n"/>
      <c r="L96" s="34" t="n"/>
      <c r="M96" s="34" t="n"/>
      <c r="N96" s="36" t="n">
        <v>161.02000000000001</v>
      </c>
      <c r="O96" s="0" t="s">
        <v>103</v>
      </c>
      <c r="S96" s="0" t="n"/>
      <c r="T96" s="0" t="n"/>
      <c r="U96" s="0" t="n"/>
      <c r="V96" s="0" t="n"/>
    </row>
    <row outlineLevel="0" r="97">
      <c r="A97" s="41" t="n"/>
      <c r="B97" s="41" t="n"/>
      <c r="C97" s="42" t="n"/>
      <c r="D97" s="41" t="n"/>
      <c r="E97" s="41" t="n"/>
      <c r="F97" s="42" t="n"/>
      <c r="G97" s="41" t="n"/>
      <c r="H97" s="41" t="n"/>
      <c r="I97" s="42" t="n"/>
      <c r="J97" s="94" t="s">
        <v>106</v>
      </c>
      <c r="K97" s="41" t="n"/>
      <c r="L97" s="42" t="n"/>
      <c r="M97" s="42" t="n"/>
      <c r="N97" s="43" t="n">
        <f aca="false" ca="false" dt2D="false" dtr="false" t="normal">-479.23-14.73</f>
        <v>-493.96000000000004</v>
      </c>
      <c r="O97" s="0" t="s">
        <v>107</v>
      </c>
      <c r="S97" s="0" t="n"/>
      <c r="T97" s="0" t="n"/>
      <c r="U97" s="0" t="n"/>
      <c r="V97" s="0" t="n"/>
    </row>
    <row outlineLevel="0" r="98">
      <c r="A98" s="33" t="n"/>
      <c r="B98" s="33" t="n"/>
      <c r="C98" s="25" t="n"/>
      <c r="D98" s="33" t="n"/>
      <c r="E98" s="33" t="n"/>
      <c r="F98" s="25" t="n"/>
      <c r="G98" s="33" t="n"/>
      <c r="H98" s="33" t="n"/>
      <c r="I98" s="25" t="n"/>
      <c r="J98" s="33" t="n"/>
      <c r="K98" s="33" t="n"/>
      <c r="L98" s="25" t="n"/>
      <c r="M98" s="27" t="n">
        <v>46078</v>
      </c>
      <c r="N98" s="69" t="n">
        <v>-153.78</v>
      </c>
      <c r="O98" s="9" t="s">
        <v>108</v>
      </c>
      <c r="S98" s="0" t="n"/>
      <c r="T98" s="0" t="n"/>
      <c r="U98" s="0" t="n"/>
      <c r="V98" s="0" t="n"/>
    </row>
    <row outlineLevel="0" r="99">
      <c r="A99" s="33" t="n"/>
      <c r="B99" s="33" t="n"/>
      <c r="C99" s="34" t="n"/>
      <c r="D99" s="33" t="n"/>
      <c r="E99" s="33" t="n"/>
      <c r="F99" s="34" t="n"/>
      <c r="G99" s="47" t="s">
        <v>109</v>
      </c>
      <c r="H99" s="33" t="n"/>
      <c r="I99" s="34" t="n"/>
      <c r="J99" s="33" t="n"/>
      <c r="K99" s="33" t="n"/>
      <c r="L99" s="34" t="n"/>
      <c r="M99" s="34" t="n"/>
      <c r="N99" s="36" t="n">
        <v>-145.93000000000001</v>
      </c>
      <c r="O99" s="95" t="s">
        <v>110</v>
      </c>
      <c r="P99" s="95" t="s"/>
      <c r="Q99" s="95" t="s"/>
      <c r="R99" s="95" t="s"/>
      <c r="S99" s="95" t="s"/>
      <c r="T99" s="95" t="s"/>
      <c r="U99" s="95" t="s"/>
      <c r="V99" s="95" t="s"/>
      <c r="W99" s="95" t="s"/>
    </row>
    <row outlineLevel="0" r="100">
      <c r="A100" s="44" t="s">
        <v>111</v>
      </c>
      <c r="B100" s="33" t="n"/>
      <c r="C100" s="34" t="n"/>
      <c r="D100" s="33" t="n"/>
      <c r="E100" s="33" t="n"/>
      <c r="F100" s="34" t="n"/>
      <c r="G100" s="33" t="n"/>
      <c r="H100" s="33" t="n"/>
      <c r="I100" s="34" t="n"/>
      <c r="J100" s="33" t="n"/>
      <c r="K100" s="33" t="n"/>
      <c r="L100" s="34" t="n"/>
      <c r="M100" s="34" t="n"/>
      <c r="N100" s="36" t="n">
        <v>-192.99000000000001</v>
      </c>
      <c r="O100" s="95" t="s"/>
      <c r="P100" s="95" t="s"/>
      <c r="Q100" s="95" t="s"/>
      <c r="R100" s="95" t="s"/>
      <c r="S100" s="95" t="s"/>
      <c r="T100" s="95" t="s"/>
      <c r="U100" s="95" t="s"/>
      <c r="V100" s="95" t="s"/>
      <c r="W100" s="95" t="s"/>
    </row>
    <row customFormat="true" ht="15" outlineLevel="0" r="101" s="87">
      <c r="A101" s="88" t="n"/>
      <c r="B101" s="88" t="n"/>
      <c r="C101" s="89" t="n"/>
      <c r="D101" s="96" t="s">
        <v>112</v>
      </c>
      <c r="E101" s="97" t="n"/>
      <c r="F101" s="98" t="n"/>
      <c r="G101" s="88" t="n"/>
      <c r="H101" s="88" t="n"/>
      <c r="I101" s="89" t="n"/>
      <c r="J101" s="88" t="n"/>
      <c r="K101" s="88" t="n"/>
      <c r="L101" s="89" t="n"/>
      <c r="M101" s="89" t="n"/>
      <c r="N101" s="91" t="n">
        <v>153.78</v>
      </c>
      <c r="O101" s="99" t="s">
        <v>113</v>
      </c>
      <c r="P101" s="87" t="n"/>
      <c r="Q101" s="87" t="n"/>
      <c r="R101" s="87" t="n"/>
      <c r="S101" s="87" t="n"/>
      <c r="T101" s="87" t="n"/>
      <c r="U101" s="87" t="n"/>
      <c r="V101" s="87" t="n"/>
      <c r="W101" s="87" t="n"/>
    </row>
    <row outlineLevel="0" r="102">
      <c r="A102" s="33" t="n"/>
      <c r="B102" s="33" t="n"/>
      <c r="C102" s="34" t="n"/>
      <c r="D102" s="100" t="s">
        <v>114</v>
      </c>
      <c r="E102" s="97" t="n"/>
      <c r="F102" s="98" t="n"/>
      <c r="G102" s="33" t="n"/>
      <c r="H102" s="33" t="n"/>
      <c r="I102" s="34" t="n"/>
      <c r="J102" s="33" t="n"/>
      <c r="K102" s="33" t="n"/>
      <c r="L102" s="34" t="n"/>
      <c r="M102" s="34" t="n"/>
      <c r="N102" s="36" t="n">
        <v>612.99000000000001</v>
      </c>
      <c r="S102" s="0" t="n"/>
      <c r="T102" s="0" t="n"/>
      <c r="U102" s="0" t="n"/>
      <c r="V102" s="0" t="n"/>
    </row>
    <row customFormat="true" ht="15" outlineLevel="0" r="103" s="0">
      <c r="A103" s="33" t="n"/>
      <c r="B103" s="33" t="n"/>
      <c r="C103" s="34" t="n"/>
      <c r="D103" s="33" t="s">
        <v>115</v>
      </c>
      <c r="E103" s="33" t="n"/>
      <c r="F103" s="34" t="n"/>
      <c r="G103" s="33" t="n"/>
      <c r="H103" s="33" t="n"/>
      <c r="I103" s="34" t="n"/>
      <c r="J103" s="33" t="n"/>
      <c r="K103" s="33" t="n"/>
      <c r="L103" s="34" t="n"/>
      <c r="M103" s="34" t="n"/>
      <c r="N103" s="36" t="n"/>
      <c r="O103" s="0" t="n"/>
      <c r="P103" s="0" t="n"/>
      <c r="Q103" s="0" t="n"/>
      <c r="R103" s="0" t="n"/>
      <c r="S103" s="0" t="n"/>
      <c r="T103" s="0" t="n"/>
      <c r="U103" s="0" t="n"/>
      <c r="V103" s="0" t="n"/>
      <c r="W103" s="0" t="n"/>
    </row>
    <row outlineLevel="0" r="104">
      <c r="A104" s="33" t="n"/>
      <c r="B104" s="33" t="n"/>
      <c r="C104" s="34" t="n"/>
      <c r="D104" s="33" t="n"/>
      <c r="E104" s="33" t="n"/>
      <c r="F104" s="101" t="s">
        <v>116</v>
      </c>
      <c r="G104" s="97" t="n"/>
      <c r="H104" s="97" t="n"/>
      <c r="I104" s="34" t="n"/>
      <c r="J104" s="50" t="n"/>
      <c r="K104" s="33" t="n"/>
      <c r="L104" s="57" t="n"/>
      <c r="M104" s="34" t="n"/>
      <c r="N104" s="36" t="n">
        <v>156.03999999999999</v>
      </c>
      <c r="S104" s="0" t="n"/>
      <c r="T104" s="0" t="n"/>
      <c r="U104" s="0" t="n"/>
      <c r="V104" s="0" t="n"/>
    </row>
    <row outlineLevel="0" r="105">
      <c r="A105" s="39" t="n"/>
      <c r="B105" s="33" t="n"/>
      <c r="C105" s="34" t="n"/>
      <c r="D105" s="33" t="n"/>
      <c r="E105" s="33" t="n"/>
      <c r="F105" s="101" t="s">
        <v>117</v>
      </c>
      <c r="G105" s="97" t="n"/>
      <c r="H105" s="97" t="n"/>
      <c r="I105" s="34" t="n"/>
      <c r="J105" s="33" t="n"/>
      <c r="K105" s="33" t="n"/>
      <c r="L105" s="34" t="n"/>
      <c r="M105" s="34" t="n"/>
      <c r="N105" s="36" t="n">
        <v>469.88</v>
      </c>
      <c r="S105" s="0" t="n"/>
      <c r="T105" s="0" t="n"/>
      <c r="U105" s="0" t="n"/>
      <c r="V105" s="0" t="n"/>
    </row>
    <row outlineLevel="0" r="106">
      <c r="A106" s="33" t="n"/>
      <c r="B106" s="33" t="n"/>
      <c r="C106" s="34" t="n"/>
      <c r="D106" s="39" t="n"/>
      <c r="E106" s="33" t="n"/>
      <c r="F106" s="34" t="n"/>
      <c r="G106" s="102" t="s">
        <v>118</v>
      </c>
      <c r="H106" s="97" t="n"/>
      <c r="I106" s="98" t="n"/>
      <c r="J106" s="33" t="n"/>
      <c r="K106" s="33" t="n"/>
      <c r="L106" s="34" t="n"/>
      <c r="M106" s="34" t="n"/>
      <c r="N106" s="36" t="n">
        <v>200</v>
      </c>
      <c r="S106" s="0" t="n"/>
      <c r="T106" s="0" t="n"/>
      <c r="U106" s="0" t="n"/>
      <c r="V106" s="0" t="n"/>
    </row>
    <row outlineLevel="0" r="107">
      <c r="A107" s="33" t="n"/>
      <c r="B107" s="33" t="n"/>
      <c r="C107" s="34" t="n"/>
      <c r="D107" s="33" t="n"/>
      <c r="E107" s="33" t="n"/>
      <c r="F107" s="34" t="n"/>
      <c r="G107" s="103" t="s">
        <v>119</v>
      </c>
      <c r="H107" s="104" t="n"/>
      <c r="I107" s="105" t="n"/>
      <c r="J107" s="33" t="n"/>
      <c r="K107" s="33" t="n"/>
      <c r="L107" s="34" t="n"/>
      <c r="M107" s="34" t="n"/>
      <c r="N107" s="36" t="n">
        <v>394.31999999999999</v>
      </c>
      <c r="S107" s="0" t="n"/>
      <c r="T107" s="0" t="n"/>
      <c r="U107" s="0" t="n"/>
      <c r="V107" s="0" t="n"/>
    </row>
    <row outlineLevel="0" r="108">
      <c r="A108" s="33" t="n"/>
      <c r="B108" s="33" t="n"/>
      <c r="C108" s="34" t="n"/>
      <c r="D108" s="33" t="n"/>
      <c r="E108" s="33" t="n"/>
      <c r="F108" s="34" t="n"/>
      <c r="G108" s="106" t="n"/>
      <c r="H108" s="106" t="s">
        <v>91</v>
      </c>
      <c r="I108" s="107" t="n"/>
      <c r="J108" s="33" t="n"/>
      <c r="K108" s="33" t="n"/>
      <c r="L108" s="34" t="n"/>
      <c r="M108" s="34" t="n"/>
      <c r="N108" s="36" t="n"/>
      <c r="O108" s="0" t="s">
        <v>120</v>
      </c>
      <c r="S108" s="0" t="n"/>
      <c r="T108" s="0" t="n"/>
      <c r="U108" s="0" t="n"/>
      <c r="V108" s="0" t="n"/>
    </row>
    <row outlineLevel="0" r="109">
      <c r="A109" s="33" t="n"/>
      <c r="B109" s="33" t="n"/>
      <c r="C109" s="34" t="n"/>
      <c r="D109" s="33" t="n"/>
      <c r="E109" s="33" t="n"/>
      <c r="F109" s="34" t="n"/>
      <c r="G109" s="47" t="s">
        <v>121</v>
      </c>
      <c r="H109" s="108" t="n"/>
      <c r="I109" s="109" t="n"/>
      <c r="J109" s="33" t="n"/>
      <c r="K109" s="33" t="n"/>
      <c r="L109" s="34" t="n"/>
      <c r="M109" s="34" t="n"/>
      <c r="N109" s="36" t="n">
        <v>-515.57000000000005</v>
      </c>
      <c r="S109" s="0" t="n"/>
      <c r="T109" s="0" t="n"/>
      <c r="U109" s="0" t="n"/>
      <c r="V109" s="0" t="n"/>
    </row>
    <row outlineLevel="0" r="110">
      <c r="A110" s="41" t="n"/>
      <c r="B110" s="41" t="n"/>
      <c r="C110" s="42" t="n"/>
      <c r="D110" s="41" t="n"/>
      <c r="E110" s="41" t="n"/>
      <c r="F110" s="42" t="n"/>
      <c r="G110" s="110" t="n"/>
      <c r="H110" s="110" t="n"/>
      <c r="I110" s="111" t="n"/>
      <c r="J110" s="49" t="s">
        <v>122</v>
      </c>
      <c r="K110" s="112" t="n"/>
      <c r="L110" s="113" t="n"/>
      <c r="M110" s="42" t="n"/>
      <c r="N110" s="43" t="n">
        <f aca="false" ca="false" dt2D="false" dtr="false" t="normal">-1129.91-9.02</f>
        <v>-1138.9300000000001</v>
      </c>
      <c r="O110" s="0" t="s">
        <v>123</v>
      </c>
      <c r="S110" s="0" t="n"/>
      <c r="T110" s="0" t="n"/>
      <c r="U110" s="0" t="n"/>
      <c r="V110" s="0" t="n"/>
    </row>
    <row outlineLevel="0" r="111">
      <c r="A111" s="33" t="n"/>
      <c r="B111" s="33" t="n"/>
      <c r="C111" s="25" t="n"/>
      <c r="D111" s="33" t="n"/>
      <c r="E111" s="33" t="n"/>
      <c r="F111" s="25" t="n"/>
      <c r="G111" s="106" t="n"/>
      <c r="H111" s="106" t="n"/>
      <c r="I111" s="114" t="n"/>
      <c r="J111" s="33" t="n"/>
      <c r="K111" s="33" t="n"/>
      <c r="L111" s="25" t="n"/>
      <c r="M111" s="27" t="n">
        <v>46079</v>
      </c>
      <c r="N111" s="69" t="n"/>
      <c r="S111" s="0" t="n"/>
      <c r="T111" s="0" t="n"/>
      <c r="U111" s="0" t="n"/>
      <c r="V111" s="0" t="n"/>
    </row>
    <row outlineLevel="0" r="112">
      <c r="A112" s="33" t="n"/>
      <c r="B112" s="33" t="n"/>
      <c r="C112" s="34" t="n"/>
      <c r="D112" s="33" t="n"/>
      <c r="E112" s="33" t="n"/>
      <c r="F112" s="34" t="n"/>
      <c r="G112" s="106" t="s">
        <v>124</v>
      </c>
      <c r="H112" s="106" t="n"/>
      <c r="I112" s="107" t="n"/>
      <c r="J112" s="33" t="n"/>
      <c r="K112" s="33" t="n"/>
      <c r="L112" s="34" t="n"/>
      <c r="M112" s="34" t="n"/>
      <c r="N112" s="36" t="n"/>
      <c r="S112" s="0" t="n"/>
      <c r="T112" s="0" t="n"/>
      <c r="U112" s="0" t="n"/>
      <c r="V112" s="0" t="n"/>
    </row>
    <row customFormat="true" ht="15" outlineLevel="0" r="113" s="87">
      <c r="A113" s="88" t="n"/>
      <c r="B113" s="88" t="n"/>
      <c r="C113" s="89" t="n"/>
      <c r="D113" s="88" t="n"/>
      <c r="E113" s="88" t="n"/>
      <c r="F113" s="89" t="n"/>
      <c r="G113" s="115" t="n"/>
      <c r="H113" s="115" t="n"/>
      <c r="I113" s="116" t="s">
        <v>125</v>
      </c>
      <c r="J113" s="117" t="n"/>
      <c r="K113" s="117" t="n"/>
      <c r="L113" s="89" t="n"/>
      <c r="M113" s="89" t="n"/>
      <c r="N113" s="91" t="n">
        <v>-514.63</v>
      </c>
      <c r="O113" s="87" t="s">
        <v>126</v>
      </c>
      <c r="P113" s="87" t="n"/>
      <c r="Q113" s="87" t="n"/>
      <c r="R113" s="87" t="n"/>
      <c r="S113" s="87" t="n"/>
      <c r="T113" s="87" t="n"/>
      <c r="U113" s="87" t="n"/>
      <c r="V113" s="87" t="n"/>
      <c r="W113" s="87" t="n"/>
    </row>
    <row outlineLevel="0" r="114">
      <c r="A114" s="44" t="s">
        <v>127</v>
      </c>
      <c r="B114" s="118" t="n"/>
      <c r="C114" s="119" t="n"/>
      <c r="D114" s="33" t="n"/>
      <c r="E114" s="33" t="n"/>
      <c r="F114" s="34" t="n"/>
      <c r="G114" s="106" t="n"/>
      <c r="H114" s="106" t="n"/>
      <c r="I114" s="107" t="n"/>
      <c r="J114" s="33" t="n"/>
      <c r="K114" s="33" t="n"/>
      <c r="L114" s="34" t="n"/>
      <c r="M114" s="34" t="n"/>
      <c r="N114" s="36" t="n">
        <v>-466.64999999999998</v>
      </c>
      <c r="S114" s="0" t="n"/>
      <c r="T114" s="0" t="n"/>
      <c r="U114" s="0" t="n"/>
      <c r="V114" s="0" t="n"/>
    </row>
    <row outlineLevel="0" r="115">
      <c r="A115" s="33" t="n"/>
      <c r="B115" s="33" t="n"/>
      <c r="C115" s="34" t="n"/>
      <c r="D115" s="102" t="s">
        <v>128</v>
      </c>
      <c r="E115" s="97" t="n"/>
      <c r="F115" s="98" t="n"/>
      <c r="G115" s="106" t="n"/>
      <c r="H115" s="106" t="n"/>
      <c r="I115" s="107" t="n"/>
      <c r="J115" s="33" t="n"/>
      <c r="K115" s="33" t="n"/>
      <c r="L115" s="34" t="n"/>
      <c r="M115" s="34" t="n"/>
      <c r="N115" s="36" t="n">
        <v>155.36000000000001</v>
      </c>
      <c r="S115" s="0" t="n"/>
      <c r="T115" s="0" t="n"/>
      <c r="U115" s="0" t="n"/>
      <c r="V115" s="0" t="n"/>
    </row>
    <row outlineLevel="0" r="116">
      <c r="A116" s="106" t="n"/>
      <c r="B116" s="106" t="n"/>
      <c r="C116" s="107" t="n"/>
      <c r="D116" s="102" t="s">
        <v>129</v>
      </c>
      <c r="E116" s="97" t="n"/>
      <c r="F116" s="98" t="n"/>
      <c r="G116" s="106" t="n"/>
      <c r="H116" s="106" t="n"/>
      <c r="I116" s="107" t="n"/>
      <c r="J116" s="50" t="n"/>
      <c r="K116" s="33" t="n"/>
      <c r="L116" s="57" t="n"/>
      <c r="M116" s="34" t="n"/>
      <c r="N116" s="36" t="n">
        <v>312.31999999999999</v>
      </c>
      <c r="S116" s="0" t="n"/>
      <c r="T116" s="0" t="n"/>
      <c r="U116" s="0" t="n"/>
      <c r="V116" s="0" t="n"/>
    </row>
    <row outlineLevel="0" r="117">
      <c r="A117" s="120" t="s">
        <v>115</v>
      </c>
      <c r="B117" s="110" t="n"/>
      <c r="C117" s="111" t="n"/>
      <c r="D117" s="41" t="n"/>
      <c r="E117" s="41" t="n"/>
      <c r="F117" s="42" t="n"/>
      <c r="G117" s="110" t="n"/>
      <c r="H117" s="110" t="n"/>
      <c r="I117" s="111" t="n"/>
      <c r="J117" s="41" t="n"/>
      <c r="K117" s="41" t="n"/>
      <c r="L117" s="42" t="n"/>
      <c r="M117" s="42" t="n"/>
      <c r="N117" s="43" t="n"/>
      <c r="S117" s="0" t="n"/>
      <c r="T117" s="0" t="n"/>
      <c r="U117" s="0" t="n"/>
      <c r="V117" s="0" t="n"/>
    </row>
    <row outlineLevel="0" r="118">
      <c r="A118" s="106" t="n"/>
      <c r="B118" s="106" t="n"/>
      <c r="C118" s="114" t="n"/>
      <c r="D118" s="39" t="n"/>
      <c r="E118" s="33" t="n"/>
      <c r="F118" s="25" t="n"/>
      <c r="G118" s="106" t="n"/>
      <c r="H118" s="106" t="n"/>
      <c r="I118" s="114" t="n"/>
      <c r="J118" s="33" t="n"/>
      <c r="K118" s="33" t="n"/>
      <c r="L118" s="25" t="n"/>
      <c r="M118" s="27" t="n">
        <v>46080</v>
      </c>
      <c r="N118" s="69" t="n"/>
      <c r="S118" s="0" t="n"/>
      <c r="T118" s="0" t="n"/>
      <c r="U118" s="0" t="n"/>
      <c r="V118" s="0" t="n"/>
    </row>
    <row outlineLevel="0" r="119">
      <c r="A119" s="106" t="n"/>
      <c r="B119" s="106" t="n"/>
      <c r="C119" s="107" t="n"/>
      <c r="D119" s="33" t="s">
        <v>91</v>
      </c>
      <c r="E119" s="33" t="n"/>
      <c r="F119" s="34" t="n"/>
      <c r="G119" s="121" t="n"/>
      <c r="H119" s="106" t="n"/>
      <c r="I119" s="107" t="n"/>
      <c r="J119" s="33" t="n"/>
      <c r="K119" s="33" t="n"/>
      <c r="L119" s="34" t="n"/>
      <c r="M119" s="34" t="n"/>
      <c r="N119" s="36" t="n"/>
      <c r="S119" s="0" t="n"/>
      <c r="T119" s="0" t="n"/>
      <c r="U119" s="0" t="n"/>
      <c r="V119" s="0" t="n"/>
    </row>
    <row outlineLevel="0" r="120">
      <c r="A120" s="106" t="n"/>
      <c r="B120" s="106" t="n"/>
      <c r="C120" s="107" t="n"/>
      <c r="D120" s="102" t="s">
        <v>130</v>
      </c>
      <c r="E120" s="97" t="n"/>
      <c r="F120" s="98" t="n"/>
      <c r="G120" s="33" t="n"/>
      <c r="H120" s="33" t="n"/>
      <c r="I120" s="34" t="n"/>
      <c r="J120" s="33" t="n"/>
      <c r="K120" s="33" t="n"/>
      <c r="L120" s="34" t="n"/>
      <c r="M120" s="34" t="n"/>
      <c r="N120" s="36" t="n">
        <v>233.69999999999999</v>
      </c>
      <c r="S120" s="0" t="n"/>
      <c r="T120" s="0" t="n"/>
      <c r="U120" s="0" t="n"/>
      <c r="V120" s="0" t="n"/>
    </row>
    <row outlineLevel="0" r="121">
      <c r="A121" s="110" t="n"/>
      <c r="B121" s="110" t="n"/>
      <c r="C121" s="111" t="n"/>
      <c r="D121" s="122" t="s">
        <v>131</v>
      </c>
      <c r="E121" s="123" t="n"/>
      <c r="F121" s="124" t="n"/>
      <c r="G121" s="41" t="n"/>
      <c r="H121" s="41" t="n"/>
      <c r="I121" s="42" t="n"/>
      <c r="J121" s="41" t="n"/>
      <c r="K121" s="41" t="n"/>
      <c r="L121" s="42" t="n"/>
      <c r="M121" s="42" t="n"/>
      <c r="N121" s="43" t="n">
        <v>233.69999999999999</v>
      </c>
      <c r="S121" s="0" t="n"/>
      <c r="T121" s="0" t="n"/>
      <c r="U121" s="0" t="n"/>
      <c r="V121" s="0" t="n"/>
    </row>
    <row outlineLevel="0" r="122">
      <c r="A122" s="106" t="n"/>
      <c r="B122" s="106" t="n"/>
      <c r="C122" s="114" t="n"/>
      <c r="D122" s="33" t="n"/>
      <c r="E122" s="33" t="n"/>
      <c r="F122" s="25" t="n"/>
      <c r="G122" s="33" t="n"/>
      <c r="H122" s="33" t="n"/>
      <c r="I122" s="25" t="n"/>
      <c r="J122" s="33" t="n"/>
      <c r="K122" s="33" t="n"/>
      <c r="L122" s="25" t="n"/>
      <c r="M122" s="27" t="n">
        <v>46083</v>
      </c>
      <c r="N122" s="69" t="n"/>
      <c r="S122" s="0" t="n"/>
      <c r="T122" s="0" t="n"/>
      <c r="U122" s="0" t="n"/>
      <c r="V122" s="0" t="n"/>
    </row>
    <row outlineLevel="0" r="123">
      <c r="A123" s="106" t="n"/>
      <c r="B123" s="106" t="n"/>
      <c r="C123" s="107" t="n"/>
      <c r="D123" s="33" t="s">
        <v>124</v>
      </c>
      <c r="E123" s="33" t="n"/>
      <c r="F123" s="34" t="n"/>
      <c r="G123" s="33" t="n"/>
      <c r="H123" s="33" t="n"/>
      <c r="I123" s="34" t="n"/>
      <c r="J123" s="33" t="n"/>
      <c r="K123" s="33" t="n"/>
      <c r="L123" s="34" t="n"/>
      <c r="M123" s="34" t="n"/>
      <c r="N123" s="36" t="n"/>
      <c r="S123" s="0" t="n"/>
      <c r="T123" s="0" t="n"/>
      <c r="U123" s="0" t="n"/>
      <c r="V123" s="0" t="n"/>
    </row>
    <row outlineLevel="0" r="124">
      <c r="A124" s="106" t="n"/>
      <c r="B124" s="106" t="n"/>
      <c r="C124" s="107" t="n"/>
      <c r="D124" s="33" t="n"/>
      <c r="E124" s="33" t="n"/>
      <c r="F124" s="101" t="s">
        <v>132</v>
      </c>
      <c r="G124" s="97" t="n"/>
      <c r="H124" s="97" t="n"/>
      <c r="I124" s="34" t="n"/>
      <c r="J124" s="33" t="n"/>
      <c r="K124" s="33" t="n"/>
      <c r="L124" s="34" t="n"/>
      <c r="M124" s="34" t="n"/>
      <c r="N124" s="36" t="n">
        <v>154.72</v>
      </c>
      <c r="S124" s="0" t="n"/>
      <c r="T124" s="0" t="n"/>
      <c r="U124" s="0" t="n"/>
      <c r="V124" s="0" t="n"/>
    </row>
    <row outlineLevel="0" r="125">
      <c r="A125" s="106" t="n"/>
      <c r="B125" s="106" t="n"/>
      <c r="C125" s="107" t="n"/>
      <c r="D125" s="33" t="n"/>
      <c r="E125" s="33" t="n"/>
      <c r="F125" s="101" t="s">
        <v>133</v>
      </c>
      <c r="G125" s="97" t="n"/>
      <c r="H125" s="97" t="n"/>
      <c r="I125" s="34" t="n"/>
      <c r="J125" s="33" t="n"/>
      <c r="K125" s="33" t="n"/>
      <c r="L125" s="34" t="n"/>
      <c r="M125" s="34" t="n"/>
      <c r="N125" s="36" t="n">
        <v>301.63</v>
      </c>
      <c r="S125" s="0" t="n"/>
      <c r="T125" s="0" t="n"/>
      <c r="U125" s="0" t="n"/>
      <c r="V125" s="0" t="n"/>
    </row>
    <row outlineLevel="0" r="126">
      <c r="A126" s="94" t="s">
        <v>134</v>
      </c>
      <c r="B126" s="125" t="n"/>
      <c r="C126" s="126" t="n"/>
      <c r="D126" s="41" t="n"/>
      <c r="E126" s="41" t="n"/>
      <c r="F126" s="42" t="n"/>
      <c r="G126" s="41" t="n"/>
      <c r="H126" s="41" t="n"/>
      <c r="I126" s="42" t="n"/>
      <c r="J126" s="41" t="n"/>
      <c r="K126" s="41" t="n"/>
      <c r="L126" s="42" t="n"/>
      <c r="M126" s="42" t="n"/>
      <c r="N126" s="43" t="n">
        <v>-494.89999999999998</v>
      </c>
      <c r="S126" s="0" t="n"/>
      <c r="T126" s="0" t="n"/>
      <c r="U126" s="0" t="n"/>
      <c r="V126" s="0" t="n"/>
    </row>
    <row outlineLevel="0" r="127">
      <c r="A127" s="106" t="n"/>
      <c r="B127" s="106" t="n"/>
      <c r="C127" s="114" t="n"/>
      <c r="D127" s="33" t="n"/>
      <c r="E127" s="33" t="n"/>
      <c r="F127" s="25" t="n"/>
      <c r="G127" s="33" t="n"/>
      <c r="H127" s="33" t="n"/>
      <c r="I127" s="25" t="n"/>
      <c r="J127" s="33" t="n"/>
      <c r="K127" s="33" t="n"/>
      <c r="L127" s="25" t="n"/>
      <c r="M127" s="27" t="n">
        <v>46084</v>
      </c>
      <c r="N127" s="69" t="n"/>
      <c r="S127" s="0" t="n"/>
      <c r="T127" s="0" t="n"/>
      <c r="U127" s="0" t="n"/>
      <c r="V127" s="0" t="n"/>
    </row>
    <row outlineLevel="0" r="128">
      <c r="A128" s="19" t="s">
        <v>91</v>
      </c>
      <c r="B128" s="106" t="n"/>
      <c r="C128" s="107" t="n"/>
      <c r="D128" s="33" t="n"/>
      <c r="E128" s="33" t="n"/>
      <c r="F128" s="34" t="n"/>
      <c r="G128" s="33" t="n"/>
      <c r="H128" s="33" t="n"/>
      <c r="I128" s="34" t="n"/>
      <c r="J128" s="33" t="n"/>
      <c r="K128" s="33" t="n"/>
      <c r="L128" s="34" t="n"/>
      <c r="M128" s="34" t="n"/>
      <c r="N128" s="36" t="n"/>
      <c r="S128" s="0" t="n"/>
      <c r="T128" s="0" t="n"/>
      <c r="U128" s="0" t="n"/>
      <c r="V128" s="0" t="n"/>
    </row>
    <row outlineLevel="0" r="129">
      <c r="A129" s="106" t="n"/>
      <c r="B129" s="106" t="n"/>
      <c r="C129" s="107" t="n"/>
      <c r="D129" s="102" t="s">
        <v>135</v>
      </c>
      <c r="E129" s="97" t="n"/>
      <c r="F129" s="98" t="n"/>
      <c r="G129" s="33" t="n"/>
      <c r="H129" s="33" t="n"/>
      <c r="I129" s="34" t="n"/>
      <c r="J129" s="33" t="n"/>
      <c r="K129" s="33" t="n"/>
      <c r="L129" s="34" t="n"/>
      <c r="M129" s="34" t="n"/>
      <c r="N129" s="36" t="n">
        <v>182.68000000000001</v>
      </c>
      <c r="S129" s="0" t="n"/>
      <c r="T129" s="0" t="n"/>
      <c r="U129" s="0" t="n"/>
      <c r="V129" s="0" t="n"/>
    </row>
    <row outlineLevel="0" r="130">
      <c r="A130" s="106" t="n"/>
      <c r="B130" s="106" t="n"/>
      <c r="C130" s="107" t="n"/>
      <c r="D130" s="102" t="s">
        <v>136</v>
      </c>
      <c r="E130" s="97" t="n"/>
      <c r="F130" s="98" t="n"/>
      <c r="G130" s="33" t="n"/>
      <c r="H130" s="33" t="n"/>
      <c r="I130" s="34" t="n"/>
      <c r="J130" s="33" t="n"/>
      <c r="K130" s="33" t="n"/>
      <c r="L130" s="34" t="n"/>
      <c r="M130" s="34" t="n"/>
      <c r="N130" s="36" t="n">
        <v>319.06</v>
      </c>
      <c r="S130" s="0" t="n"/>
      <c r="T130" s="0" t="n"/>
      <c r="U130" s="0" t="n"/>
      <c r="V130" s="0" t="n"/>
    </row>
    <row outlineLevel="0" r="131">
      <c r="A131" s="106" t="n"/>
      <c r="B131" s="106" t="n"/>
      <c r="C131" s="93" t="s">
        <v>137</v>
      </c>
      <c r="D131" s="97" t="n"/>
      <c r="E131" s="97" t="n"/>
      <c r="F131" s="34" t="n"/>
      <c r="G131" s="33" t="n"/>
      <c r="H131" s="33" t="n"/>
      <c r="I131" s="34" t="n"/>
      <c r="J131" s="33" t="n"/>
      <c r="K131" s="33" t="n"/>
      <c r="L131" s="34" t="n"/>
      <c r="M131" s="34" t="n"/>
      <c r="N131" s="36" t="n">
        <v>159.53999999999999</v>
      </c>
      <c r="S131" s="0" t="n"/>
      <c r="T131" s="0" t="n"/>
      <c r="U131" s="0" t="n"/>
      <c r="V131" s="0" t="n"/>
    </row>
    <row outlineLevel="0" r="132">
      <c r="A132" s="106" t="n"/>
      <c r="B132" s="106" t="n"/>
      <c r="C132" s="93" t="s">
        <v>138</v>
      </c>
      <c r="D132" s="97" t="n"/>
      <c r="E132" s="97" t="n"/>
      <c r="F132" s="34" t="n"/>
      <c r="G132" s="33" t="n"/>
      <c r="H132" s="33" t="n"/>
      <c r="I132" s="34" t="n"/>
      <c r="J132" s="33" t="n"/>
      <c r="K132" s="33" t="n"/>
      <c r="L132" s="34" t="n"/>
      <c r="M132" s="34" t="n"/>
      <c r="N132" s="36" t="n">
        <v>314.37</v>
      </c>
      <c r="S132" s="0" t="n"/>
      <c r="T132" s="0" t="n"/>
      <c r="U132" s="0" t="n"/>
      <c r="V132" s="0" t="n"/>
    </row>
    <row customFormat="true" ht="15" outlineLevel="0" r="133" s="87">
      <c r="A133" s="35" t="s">
        <v>139</v>
      </c>
      <c r="B133" s="104" t="n"/>
      <c r="C133" s="105" t="n"/>
      <c r="D133" s="88" t="n"/>
      <c r="E133" s="88" t="n"/>
      <c r="F133" s="89" t="n"/>
      <c r="G133" s="88" t="n"/>
      <c r="H133" s="88" t="n"/>
      <c r="I133" s="89" t="n"/>
      <c r="J133" s="88" t="n"/>
      <c r="K133" s="88" t="n"/>
      <c r="L133" s="89" t="n"/>
      <c r="M133" s="89" t="n"/>
      <c r="N133" s="91" t="n">
        <v>627.24000000000001</v>
      </c>
      <c r="O133" s="127" t="s">
        <v>140</v>
      </c>
      <c r="P133" s="87" t="n"/>
      <c r="Q133" s="87" t="n"/>
      <c r="R133" s="87" t="n"/>
      <c r="S133" s="87" t="n"/>
      <c r="T133" s="87" t="n"/>
      <c r="U133" s="87" t="n"/>
      <c r="V133" s="87" t="n"/>
      <c r="W133" s="87" t="n"/>
    </row>
    <row outlineLevel="0" r="134">
      <c r="A134" s="110" t="n"/>
      <c r="B134" s="110" t="n"/>
      <c r="C134" s="111" t="n"/>
      <c r="D134" s="48" t="s">
        <v>141</v>
      </c>
      <c r="E134" s="123" t="n"/>
      <c r="F134" s="124" t="n"/>
      <c r="G134" s="41" t="n"/>
      <c r="H134" s="41" t="n"/>
      <c r="I134" s="42" t="n"/>
      <c r="J134" s="41" t="n"/>
      <c r="K134" s="41" t="n"/>
      <c r="L134" s="42" t="n"/>
      <c r="M134" s="42" t="n"/>
      <c r="N134" s="43" t="n">
        <v>621.77999999999997</v>
      </c>
      <c r="O134" s="0" t="s">
        <v>142</v>
      </c>
      <c r="S134" s="0" t="n"/>
      <c r="T134" s="0" t="n"/>
      <c r="U134" s="0" t="n"/>
      <c r="V134" s="0" t="n"/>
    </row>
    <row customFormat="true" ht="15" outlineLevel="0" r="135" s="87">
      <c r="A135" s="115" t="n"/>
      <c r="B135" s="115" t="n"/>
      <c r="C135" s="128" t="n"/>
      <c r="D135" s="88" t="n"/>
      <c r="E135" s="88" t="n"/>
      <c r="F135" s="129" t="n"/>
      <c r="G135" s="88" t="n"/>
      <c r="H135" s="88" t="n"/>
      <c r="I135" s="129" t="n"/>
      <c r="J135" s="88" t="n"/>
      <c r="K135" s="88" t="n"/>
      <c r="L135" s="129" t="n"/>
      <c r="M135" s="130" t="n">
        <v>46085</v>
      </c>
      <c r="N135" s="131" t="n"/>
      <c r="O135" s="127" t="s">
        <v>143</v>
      </c>
      <c r="P135" s="87" t="n"/>
      <c r="Q135" s="87" t="n"/>
      <c r="R135" s="87" t="n"/>
      <c r="S135" s="87" t="n"/>
      <c r="T135" s="87" t="n"/>
      <c r="U135" s="87" t="n"/>
      <c r="V135" s="87" t="n"/>
      <c r="W135" s="87" t="n"/>
    </row>
    <row outlineLevel="0" r="136">
      <c r="A136" s="106" t="s">
        <v>144</v>
      </c>
      <c r="B136" s="106" t="n"/>
      <c r="C136" s="107" t="n"/>
      <c r="D136" s="33" t="n"/>
      <c r="E136" s="33" t="n"/>
      <c r="F136" s="34" t="n"/>
      <c r="G136" s="33" t="n"/>
      <c r="H136" s="33" t="n"/>
      <c r="I136" s="34" t="n"/>
      <c r="J136" s="33" t="n"/>
      <c r="K136" s="33" t="n"/>
      <c r="L136" s="34" t="n"/>
      <c r="M136" s="34" t="n"/>
      <c r="N136" s="36" t="n"/>
      <c r="O136" s="0" t="n"/>
      <c r="S136" s="0" t="n"/>
      <c r="T136" s="0" t="n"/>
      <c r="U136" s="0" t="n"/>
      <c r="V136" s="0" t="n"/>
    </row>
    <row outlineLevel="0" r="137">
      <c r="A137" s="44" t="s">
        <v>145</v>
      </c>
      <c r="B137" s="132" t="n"/>
      <c r="C137" s="133" t="n"/>
      <c r="D137" s="33" t="n"/>
      <c r="E137" s="33" t="n"/>
      <c r="F137" s="34" t="n"/>
      <c r="G137" s="33" t="n"/>
      <c r="H137" s="33" t="n"/>
      <c r="I137" s="34" t="n"/>
      <c r="J137" s="33" t="n"/>
      <c r="K137" s="33" t="n"/>
      <c r="L137" s="34" t="n"/>
      <c r="M137" s="34" t="n"/>
      <c r="N137" s="36" t="n">
        <v>-588.40999999999997</v>
      </c>
      <c r="S137" s="0" t="n"/>
      <c r="T137" s="0" t="n"/>
      <c r="U137" s="0" t="n"/>
      <c r="V137" s="0" t="n"/>
    </row>
    <row outlineLevel="0" r="138">
      <c r="A138" s="106" t="n"/>
      <c r="B138" s="106" t="n"/>
      <c r="C138" s="107" t="n"/>
      <c r="D138" s="44" t="s">
        <v>146</v>
      </c>
      <c r="E138" s="132" t="n"/>
      <c r="F138" s="133" t="n"/>
      <c r="G138" s="33" t="n"/>
      <c r="H138" s="33" t="n"/>
      <c r="I138" s="34" t="n"/>
      <c r="J138" s="33" t="n"/>
      <c r="K138" s="33" t="n"/>
      <c r="L138" s="34" t="n"/>
      <c r="M138" s="34" t="n"/>
      <c r="N138" s="36" t="n">
        <v>-238.47</v>
      </c>
      <c r="S138" s="0" t="n"/>
      <c r="T138" s="0" t="n"/>
      <c r="U138" s="0" t="n"/>
      <c r="V138" s="0" t="n"/>
    </row>
    <row outlineLevel="0" r="139">
      <c r="A139" s="110" t="n"/>
      <c r="B139" s="110" t="n"/>
      <c r="C139" s="111" t="n"/>
      <c r="D139" s="41" t="n"/>
      <c r="E139" s="41" t="n"/>
      <c r="F139" s="42" t="n"/>
      <c r="G139" s="41" t="n"/>
      <c r="H139" s="41" t="n"/>
      <c r="I139" s="42" t="n"/>
      <c r="J139" s="94" t="s">
        <v>147</v>
      </c>
      <c r="K139" s="134" t="n"/>
      <c r="L139" s="135" t="n"/>
      <c r="M139" s="42" t="n"/>
      <c r="N139" s="43" t="n">
        <v>-462.29000000000002</v>
      </c>
      <c r="S139" s="0" t="n"/>
      <c r="T139" s="0" t="n"/>
      <c r="U139" s="0" t="n"/>
      <c r="V139" s="0" t="n"/>
    </row>
    <row outlineLevel="0" r="140">
      <c r="A140" s="106" t="n"/>
      <c r="B140" s="106" t="n"/>
      <c r="C140" s="114" t="n"/>
      <c r="D140" s="33" t="n"/>
      <c r="E140" s="33" t="n"/>
      <c r="F140" s="25" t="n"/>
      <c r="G140" s="33" t="n"/>
      <c r="H140" s="33" t="n"/>
      <c r="I140" s="25" t="n"/>
      <c r="J140" s="33" t="n"/>
      <c r="K140" s="33" t="n"/>
      <c r="L140" s="25" t="n"/>
      <c r="M140" s="27" t="n">
        <v>46086</v>
      </c>
      <c r="N140" s="69" t="n"/>
      <c r="S140" s="0" t="n"/>
      <c r="T140" s="0" t="n"/>
      <c r="U140" s="0" t="n"/>
      <c r="V140" s="0" t="n"/>
    </row>
    <row outlineLevel="0" r="141">
      <c r="A141" s="106" t="n"/>
      <c r="B141" s="106" t="n"/>
      <c r="C141" s="107" t="n"/>
      <c r="D141" s="106" t="s">
        <v>144</v>
      </c>
      <c r="E141" s="33" t="n"/>
      <c r="F141" s="34" t="n"/>
      <c r="G141" s="33" t="n"/>
      <c r="H141" s="33" t="n"/>
      <c r="I141" s="34" t="n"/>
      <c r="J141" s="33" t="n"/>
      <c r="K141" s="33" t="n"/>
      <c r="L141" s="34" t="n"/>
      <c r="M141" s="34" t="n"/>
      <c r="N141" s="36" t="n"/>
      <c r="S141" s="0" t="n"/>
      <c r="T141" s="0" t="n"/>
      <c r="U141" s="0" t="n"/>
      <c r="V141" s="0" t="n"/>
    </row>
    <row outlineLevel="0" r="142">
      <c r="A142" s="106" t="n"/>
      <c r="B142" s="106" t="n"/>
      <c r="C142" s="107" t="n"/>
      <c r="D142" s="44" t="s">
        <v>148</v>
      </c>
      <c r="E142" s="132" t="n"/>
      <c r="F142" s="133" t="n"/>
      <c r="G142" s="33" t="n"/>
      <c r="H142" s="33" t="n"/>
      <c r="I142" s="34" t="n"/>
      <c r="J142" s="33" t="n"/>
      <c r="K142" s="33" t="n"/>
      <c r="L142" s="34" t="n"/>
      <c r="M142" s="34" t="n"/>
      <c r="N142" s="36" t="n">
        <v>-467</v>
      </c>
      <c r="S142" s="0" t="n"/>
      <c r="T142" s="0" t="n"/>
      <c r="U142" s="0" t="n"/>
      <c r="V142" s="0" t="n"/>
    </row>
    <row outlineLevel="0" r="143">
      <c r="A143" s="136" t="s">
        <v>149</v>
      </c>
      <c r="B143" s="104" t="n"/>
      <c r="C143" s="105" t="n"/>
      <c r="D143" s="33" t="n"/>
      <c r="E143" s="33" t="n"/>
      <c r="F143" s="34" t="n"/>
      <c r="G143" s="33" t="n"/>
      <c r="H143" s="33" t="n"/>
      <c r="I143" s="34" t="n"/>
      <c r="J143" s="33" t="n"/>
      <c r="K143" s="33" t="n"/>
      <c r="L143" s="34" t="n"/>
      <c r="M143" s="34" t="n"/>
      <c r="N143" s="36" t="n">
        <v>619.05999999999995</v>
      </c>
      <c r="S143" s="0" t="n"/>
      <c r="T143" s="0" t="n"/>
      <c r="U143" s="0" t="n"/>
      <c r="V143" s="0" t="n"/>
    </row>
    <row outlineLevel="0" r="144">
      <c r="A144" s="106" t="s">
        <v>150</v>
      </c>
      <c r="B144" s="106" t="n"/>
      <c r="C144" s="107" t="n"/>
      <c r="D144" s="33" t="n"/>
      <c r="E144" s="33" t="n"/>
      <c r="F144" s="34" t="n"/>
      <c r="G144" s="33" t="n"/>
      <c r="H144" s="33" t="n"/>
      <c r="I144" s="34" t="n"/>
      <c r="J144" s="33" t="n"/>
      <c r="K144" s="33" t="n"/>
      <c r="L144" s="34" t="n"/>
      <c r="M144" s="34" t="n"/>
      <c r="N144" s="36" t="n"/>
      <c r="S144" s="0" t="n"/>
      <c r="T144" s="0" t="n"/>
      <c r="U144" s="0" t="n"/>
      <c r="V144" s="0" t="n"/>
    </row>
    <row customFormat="true" ht="0" outlineLevel="0" r="145" s="87">
      <c r="A145" s="115" t="n"/>
      <c r="B145" s="115" t="n"/>
      <c r="C145" s="137" t="n"/>
      <c r="D145" s="88" t="n"/>
      <c r="E145" s="88" t="n"/>
      <c r="F145" s="89" t="n"/>
      <c r="G145" s="88" t="n"/>
      <c r="H145" s="88" t="n"/>
      <c r="I145" s="89" t="n"/>
      <c r="J145" s="88" t="s">
        <v>124</v>
      </c>
      <c r="K145" s="88" t="n"/>
      <c r="L145" s="89" t="n"/>
      <c r="M145" s="89" t="n"/>
      <c r="N145" s="91" t="n"/>
      <c r="O145" s="127" t="s">
        <v>151</v>
      </c>
      <c r="P145" s="87" t="n"/>
      <c r="Q145" s="87" t="n"/>
      <c r="R145" s="87" t="n"/>
      <c r="S145" s="87" t="n"/>
      <c r="T145" s="87" t="n"/>
      <c r="U145" s="87" t="n"/>
      <c r="V145" s="87" t="n"/>
      <c r="W145" s="87" t="n"/>
    </row>
    <row outlineLevel="0" r="146">
      <c r="A146" s="110" t="n"/>
      <c r="B146" s="110" t="n"/>
      <c r="C146" s="111" t="n"/>
      <c r="D146" s="138" t="s">
        <v>152</v>
      </c>
      <c r="E146" s="139" t="n"/>
      <c r="F146" s="140" t="n"/>
      <c r="G146" s="41" t="n"/>
      <c r="H146" s="41" t="n"/>
      <c r="I146" s="42" t="n"/>
      <c r="J146" s="41" t="n"/>
      <c r="K146" s="41" t="n"/>
      <c r="L146" s="42" t="n"/>
      <c r="M146" s="42" t="n"/>
      <c r="N146" s="43" t="n">
        <v>-470.62</v>
      </c>
      <c r="S146" s="0" t="n"/>
      <c r="T146" s="0" t="n"/>
      <c r="U146" s="0" t="n"/>
      <c r="V146" s="0" t="n"/>
    </row>
    <row outlineLevel="0" r="147">
      <c r="A147" s="106" t="n"/>
      <c r="B147" s="106" t="n"/>
      <c r="C147" s="114" t="n"/>
      <c r="D147" s="33" t="n"/>
      <c r="E147" s="33" t="n"/>
      <c r="F147" s="25" t="n"/>
      <c r="G147" s="33" t="n"/>
      <c r="H147" s="33" t="n"/>
      <c r="I147" s="25" t="n"/>
      <c r="J147" s="33" t="n"/>
      <c r="K147" s="33" t="n"/>
      <c r="L147" s="25" t="n"/>
      <c r="M147" s="27" t="n">
        <v>46090</v>
      </c>
      <c r="N147" s="69" t="n"/>
      <c r="S147" s="0" t="n"/>
      <c r="T147" s="0" t="n"/>
      <c r="U147" s="0" t="n"/>
      <c r="V147" s="0" t="n"/>
    </row>
    <row outlineLevel="0" r="148">
      <c r="A148" s="106" t="n"/>
      <c r="B148" s="106" t="n"/>
      <c r="C148" s="107" t="n"/>
      <c r="D148" s="33" t="n"/>
      <c r="E148" s="33" t="n"/>
      <c r="F148" s="34" t="n"/>
      <c r="G148" s="33" t="n"/>
      <c r="H148" s="33" t="s">
        <v>124</v>
      </c>
      <c r="I148" s="34" t="n"/>
      <c r="J148" s="33" t="n"/>
      <c r="K148" s="33" t="n"/>
      <c r="L148" s="34" t="n"/>
      <c r="M148" s="34" t="n"/>
      <c r="N148" s="36" t="n"/>
      <c r="S148" s="0" t="n"/>
      <c r="T148" s="0" t="n"/>
      <c r="U148" s="0" t="n"/>
      <c r="V148" s="0" t="n"/>
    </row>
    <row outlineLevel="0" r="149">
      <c r="A149" s="106" t="n"/>
      <c r="B149" s="106" t="n"/>
      <c r="C149" s="107" t="n"/>
      <c r="D149" s="33" t="n"/>
      <c r="E149" s="33" t="n"/>
      <c r="F149" s="34" t="n"/>
      <c r="G149" s="141" t="s">
        <v>153</v>
      </c>
      <c r="H149" s="33" t="n"/>
      <c r="I149" s="34" t="n"/>
      <c r="J149" s="33" t="n"/>
      <c r="K149" s="33" t="n"/>
      <c r="L149" s="34" t="n"/>
      <c r="M149" s="34" t="n"/>
      <c r="N149" s="36" t="n">
        <v>-519.32000000000005</v>
      </c>
      <c r="S149" s="0" t="n"/>
      <c r="T149" s="0" t="n"/>
      <c r="U149" s="0" t="n"/>
      <c r="V149" s="0" t="n"/>
    </row>
    <row outlineLevel="0" r="150">
      <c r="A150" s="106" t="n"/>
      <c r="B150" s="106" t="n"/>
      <c r="C150" s="107" t="n"/>
      <c r="D150" s="102" t="s">
        <v>154</v>
      </c>
      <c r="E150" s="33" t="n"/>
      <c r="F150" s="34" t="n"/>
      <c r="G150" s="33" t="n"/>
      <c r="H150" s="33" t="n"/>
      <c r="I150" s="34" t="n"/>
      <c r="J150" s="33" t="n"/>
      <c r="K150" s="33" t="n"/>
      <c r="L150" s="34" t="n"/>
      <c r="M150" s="34" t="n"/>
      <c r="N150" s="36" t="n">
        <v>147.94999999999999</v>
      </c>
      <c r="S150" s="0" t="n"/>
      <c r="T150" s="0" t="n"/>
      <c r="U150" s="0" t="n"/>
      <c r="V150" s="0" t="n"/>
    </row>
    <row outlineLevel="0" r="151">
      <c r="A151" s="106" t="n"/>
      <c r="B151" s="106" t="n"/>
      <c r="C151" s="107" t="n"/>
      <c r="D151" s="142" t="s">
        <v>155</v>
      </c>
      <c r="E151" s="33" t="n"/>
      <c r="F151" s="34" t="n"/>
      <c r="G151" s="33" t="n"/>
      <c r="H151" s="33" t="n"/>
      <c r="I151" s="34" t="n"/>
      <c r="J151" s="143" t="n"/>
      <c r="K151" s="33" t="n"/>
      <c r="L151" s="34" t="n"/>
      <c r="M151" s="34" t="n"/>
      <c r="N151" s="36" t="n">
        <v>-243.27000000000001</v>
      </c>
      <c r="S151" s="0" t="n"/>
      <c r="T151" s="0" t="n"/>
      <c r="U151" s="0" t="n"/>
      <c r="V151" s="0" t="n"/>
    </row>
    <row outlineLevel="0" r="152">
      <c r="A152" s="106" t="n"/>
      <c r="B152" s="106" t="n"/>
      <c r="C152" s="107" t="n"/>
      <c r="D152" s="33" t="n"/>
      <c r="E152" s="33" t="n"/>
      <c r="F152" s="34" t="n"/>
      <c r="G152" s="33" t="n"/>
      <c r="H152" s="33" t="n"/>
      <c r="I152" s="34" t="n"/>
      <c r="J152" s="141" t="s">
        <v>156</v>
      </c>
      <c r="K152" s="33" t="n"/>
      <c r="L152" s="34" t="n"/>
      <c r="M152" s="34" t="n"/>
      <c r="N152" s="36" t="n">
        <v>-462.32999999999998</v>
      </c>
      <c r="S152" s="0" t="n"/>
      <c r="T152" s="0" t="n"/>
      <c r="U152" s="0" t="n"/>
      <c r="V152" s="0" t="n"/>
    </row>
    <row outlineLevel="0" r="153">
      <c r="A153" s="106" t="n"/>
      <c r="B153" s="106" t="n"/>
      <c r="C153" s="107" t="n"/>
      <c r="D153" s="33" t="n"/>
      <c r="E153" s="33" t="n"/>
      <c r="F153" s="34" t="n"/>
      <c r="G153" s="102" t="s">
        <v>157</v>
      </c>
      <c r="H153" s="33" t="n"/>
      <c r="I153" s="34" t="n"/>
      <c r="J153" s="33" t="n"/>
      <c r="K153" s="33" t="n"/>
      <c r="L153" s="34" t="n"/>
      <c r="M153" s="34" t="n"/>
      <c r="N153" s="36" t="n">
        <v>551.40999999999997</v>
      </c>
      <c r="S153" s="0" t="n"/>
      <c r="T153" s="0" t="n"/>
      <c r="U153" s="0" t="n"/>
      <c r="V153" s="0" t="n"/>
    </row>
    <row outlineLevel="0" r="154">
      <c r="A154" s="106" t="n"/>
      <c r="B154" s="106" t="n"/>
      <c r="C154" s="107" t="n"/>
      <c r="D154" s="33" t="n"/>
      <c r="E154" s="33" t="n"/>
      <c r="F154" s="34" t="n"/>
      <c r="G154" s="33" t="n"/>
      <c r="H154" s="33" t="n"/>
      <c r="I154" s="34" t="n"/>
      <c r="J154" s="33" t="n"/>
      <c r="K154" s="142" t="s">
        <v>158</v>
      </c>
      <c r="L154" s="34" t="n"/>
      <c r="M154" s="34" t="n"/>
      <c r="N154" s="36" t="n">
        <v>-448.52999999999997</v>
      </c>
      <c r="S154" s="0" t="n"/>
      <c r="T154" s="0" t="n"/>
      <c r="U154" s="0" t="n"/>
      <c r="V154" s="0" t="n"/>
    </row>
    <row outlineLevel="0" r="155">
      <c r="A155" s="110" t="n"/>
      <c r="B155" s="110" t="n"/>
      <c r="C155" s="111" t="n"/>
      <c r="D155" s="41" t="n"/>
      <c r="E155" s="41" t="n"/>
      <c r="F155" s="42" t="n"/>
      <c r="G155" s="41" t="n"/>
      <c r="H155" s="41" t="n"/>
      <c r="I155" s="42" t="n"/>
      <c r="J155" s="110" t="s">
        <v>159</v>
      </c>
      <c r="K155" s="41" t="n"/>
      <c r="L155" s="42" t="n"/>
      <c r="M155" s="42" t="n"/>
      <c r="N155" s="43" t="n"/>
      <c r="S155" s="0" t="n"/>
      <c r="T155" s="0" t="n"/>
      <c r="U155" s="0" t="n"/>
      <c r="V155" s="0" t="n"/>
    </row>
    <row outlineLevel="0" r="156">
      <c r="A156" s="106" t="n"/>
      <c r="B156" s="106" t="n"/>
      <c r="C156" s="114" t="n"/>
      <c r="D156" s="33" t="n"/>
      <c r="E156" s="33" t="n"/>
      <c r="F156" s="25" t="n"/>
      <c r="G156" s="33" t="n"/>
      <c r="H156" s="33" t="n"/>
      <c r="I156" s="25" t="n"/>
      <c r="J156" s="33" t="n"/>
      <c r="K156" s="33" t="n"/>
      <c r="L156" s="25" t="n"/>
      <c r="M156" s="27" t="n">
        <v>46120</v>
      </c>
      <c r="N156" s="69" t="n"/>
      <c r="S156" s="0" t="n"/>
      <c r="T156" s="0" t="n"/>
      <c r="U156" s="0" t="n"/>
      <c r="V156" s="0" t="n"/>
    </row>
    <row outlineLevel="0" r="157">
      <c r="A157" s="144" t="s">
        <v>144</v>
      </c>
      <c r="B157" s="106" t="n"/>
      <c r="C157" s="107" t="n"/>
      <c r="D157" s="33" t="n"/>
      <c r="E157" s="33" t="n"/>
      <c r="F157" s="34" t="n"/>
      <c r="G157" s="33" t="n"/>
      <c r="H157" s="33" t="n"/>
      <c r="I157" s="34" t="n"/>
      <c r="J157" s="33" t="n"/>
      <c r="K157" s="33" t="n"/>
      <c r="L157" s="34" t="n"/>
      <c r="M157" s="34" t="n"/>
      <c r="N157" s="36" t="n"/>
      <c r="S157" s="0" t="n"/>
      <c r="T157" s="0" t="n"/>
      <c r="U157" s="0" t="n"/>
      <c r="V157" s="0" t="n"/>
    </row>
    <row outlineLevel="0" r="158">
      <c r="A158" s="106" t="n"/>
      <c r="B158" s="106" t="n"/>
      <c r="C158" s="93" t="s">
        <v>160</v>
      </c>
      <c r="D158" s="33" t="n"/>
      <c r="E158" s="33" t="n"/>
      <c r="F158" s="34" t="n"/>
      <c r="G158" s="33" t="n"/>
      <c r="H158" s="33" t="n"/>
      <c r="I158" s="34" t="n"/>
      <c r="J158" s="33" t="n"/>
      <c r="K158" s="33" t="n"/>
      <c r="L158" s="34" t="n"/>
      <c r="M158" s="34" t="n"/>
      <c r="N158" s="36" t="n">
        <v>163.16</v>
      </c>
      <c r="S158" s="0" t="n"/>
      <c r="T158" s="0" t="n"/>
      <c r="U158" s="0" t="n"/>
      <c r="V158" s="0" t="n"/>
    </row>
    <row outlineLevel="0" r="159">
      <c r="A159" s="110" t="n"/>
      <c r="B159" s="110" t="n"/>
      <c r="C159" s="145" t="s">
        <v>161</v>
      </c>
      <c r="D159" s="41" t="n"/>
      <c r="E159" s="41" t="n"/>
      <c r="F159" s="42" t="n"/>
      <c r="G159" s="41" t="n"/>
      <c r="H159" s="41" t="n"/>
      <c r="I159" s="42" t="n"/>
      <c r="J159" s="41" t="n"/>
      <c r="K159" s="41" t="n"/>
      <c r="L159" s="42" t="n"/>
      <c r="M159" s="42" t="n"/>
      <c r="N159" s="43" t="n">
        <v>320.26999999999998</v>
      </c>
      <c r="S159" s="0" t="n"/>
      <c r="T159" s="0" t="n"/>
      <c r="U159" s="0" t="n"/>
      <c r="V159" s="0" t="n"/>
    </row>
    <row outlineLevel="0" r="160">
      <c r="A160" s="106" t="n"/>
      <c r="B160" s="106" t="n"/>
      <c r="C160" s="114" t="n"/>
      <c r="D160" s="33" t="n"/>
      <c r="E160" s="33" t="n"/>
      <c r="F160" s="25" t="n"/>
      <c r="G160" s="33" t="n"/>
      <c r="H160" s="33" t="n"/>
      <c r="I160" s="25" t="n"/>
      <c r="J160" s="33" t="n"/>
      <c r="K160" s="33" t="n"/>
      <c r="L160" s="25" t="n"/>
      <c r="M160" s="27" t="n">
        <v>46121</v>
      </c>
      <c r="N160" s="69" t="n"/>
      <c r="S160" s="0" t="n"/>
      <c r="T160" s="0" t="n"/>
      <c r="U160" s="0" t="n"/>
      <c r="V160" s="0" t="n"/>
    </row>
    <row outlineLevel="0" r="161">
      <c r="A161" s="106" t="n"/>
      <c r="B161" s="106" t="n"/>
      <c r="C161" s="107" t="n"/>
      <c r="D161" s="33" t="n"/>
      <c r="E161" s="33" t="n"/>
      <c r="F161" s="34" t="n"/>
      <c r="G161" s="144" t="s">
        <v>144</v>
      </c>
      <c r="H161" s="33" t="n"/>
      <c r="I161" s="34" t="n"/>
      <c r="J161" s="33" t="n"/>
      <c r="K161" s="33" t="n"/>
      <c r="L161" s="34" t="n"/>
      <c r="M161" s="34" t="n"/>
      <c r="N161" s="36" t="n"/>
      <c r="S161" s="0" t="n"/>
      <c r="T161" s="0" t="n"/>
      <c r="U161" s="0" t="n"/>
      <c r="V161" s="0" t="n"/>
    </row>
    <row outlineLevel="0" r="162">
      <c r="A162" s="106" t="n"/>
      <c r="B162" s="106" t="n"/>
      <c r="C162" s="107" t="n"/>
      <c r="D162" s="33" t="n"/>
      <c r="E162" s="33" t="n"/>
      <c r="F162" s="34" t="n"/>
      <c r="G162" s="33" t="n"/>
      <c r="H162" s="33" t="n"/>
      <c r="I162" s="34" t="n"/>
      <c r="J162" s="103" t="s">
        <v>162</v>
      </c>
      <c r="K162" s="33" t="n"/>
      <c r="L162" s="34" t="n"/>
      <c r="M162" s="34" t="n"/>
      <c r="N162" s="36" t="n">
        <v>98.189999999999998</v>
      </c>
      <c r="S162" s="0" t="n"/>
      <c r="T162" s="0" t="n"/>
      <c r="U162" s="0" t="n"/>
      <c r="V162" s="0" t="n"/>
    </row>
    <row outlineLevel="0" r="163">
      <c r="A163" s="106" t="n"/>
      <c r="B163" s="106" t="n"/>
      <c r="C163" s="107" t="n"/>
      <c r="D163" s="33" t="n"/>
      <c r="E163" s="33" t="n"/>
      <c r="F163" s="34" t="n"/>
      <c r="G163" s="33" t="n"/>
      <c r="H163" s="33" t="n"/>
      <c r="I163" s="34" t="n"/>
      <c r="J163" s="103" t="s">
        <v>163</v>
      </c>
      <c r="K163" s="33" t="n"/>
      <c r="L163" s="34" t="n"/>
      <c r="M163" s="34" t="n"/>
      <c r="N163" s="36" t="n">
        <v>398.67000000000002</v>
      </c>
      <c r="S163" s="0" t="n"/>
      <c r="T163" s="0" t="n"/>
      <c r="U163" s="0" t="n"/>
      <c r="V163" s="0" t="n"/>
    </row>
    <row outlineLevel="0" r="164">
      <c r="A164" s="106" t="n"/>
      <c r="B164" s="106" t="n"/>
      <c r="C164" s="107" t="n"/>
      <c r="D164" s="146" t="s">
        <v>164</v>
      </c>
      <c r="E164" s="33" t="n"/>
      <c r="F164" s="34" t="n"/>
      <c r="G164" s="33" t="n"/>
      <c r="H164" s="33" t="n"/>
      <c r="I164" s="34" t="n"/>
      <c r="J164" s="33" t="n"/>
      <c r="K164" s="33" t="n"/>
      <c r="L164" s="34" t="n"/>
      <c r="M164" s="34" t="n"/>
      <c r="N164" s="36" t="n">
        <v>-465.80000000000001</v>
      </c>
      <c r="S164" s="0" t="n"/>
      <c r="T164" s="0" t="n"/>
      <c r="U164" s="0" t="n"/>
      <c r="V164" s="0" t="n"/>
    </row>
    <row outlineLevel="0" r="165">
      <c r="A165" s="106" t="n"/>
      <c r="B165" s="106" t="n"/>
      <c r="C165" s="107" t="n"/>
      <c r="D165" s="33" t="n"/>
      <c r="E165" s="33" t="n"/>
      <c r="F165" s="34" t="n"/>
      <c r="G165" s="33" t="n"/>
      <c r="H165" s="33" t="n"/>
      <c r="I165" s="34" t="n"/>
      <c r="J165" s="34" t="s">
        <v>165</v>
      </c>
      <c r="K165" s="33" t="n"/>
      <c r="L165" s="34" t="n"/>
      <c r="M165" s="34" t="n"/>
      <c r="N165" s="36" t="n"/>
      <c r="S165" s="0" t="n"/>
      <c r="T165" s="0" t="n"/>
      <c r="U165" s="0" t="n"/>
      <c r="V165" s="0" t="n"/>
    </row>
    <row outlineLevel="0" r="166">
      <c r="A166" s="147" t="n"/>
      <c r="B166" s="147" t="n"/>
      <c r="C166" s="148" t="n"/>
      <c r="D166" s="149" t="n"/>
      <c r="E166" s="149" t="n"/>
      <c r="F166" s="150" t="n"/>
      <c r="G166" s="149" t="n"/>
      <c r="H166" s="149" t="n"/>
      <c r="I166" s="151" t="s">
        <v>166</v>
      </c>
      <c r="J166" s="149" t="n"/>
      <c r="K166" s="149" t="n"/>
      <c r="L166" s="150" t="n"/>
      <c r="M166" s="150" t="n"/>
      <c r="N166" s="152" t="n">
        <v>-510.49000000000001</v>
      </c>
      <c r="S166" s="0" t="n"/>
      <c r="T166" s="0" t="n"/>
      <c r="U166" s="0" t="n"/>
      <c r="V166" s="0" t="n"/>
    </row>
    <row outlineLevel="0" r="167">
      <c r="A167" s="106" t="n"/>
      <c r="B167" s="106" t="n"/>
      <c r="C167" s="153" t="n"/>
      <c r="D167" s="33" t="n"/>
      <c r="E167" s="33" t="n"/>
      <c r="F167" s="154" t="n"/>
      <c r="G167" s="33" t="n"/>
      <c r="H167" s="33" t="n"/>
      <c r="I167" s="154" t="n"/>
      <c r="J167" s="33" t="n"/>
      <c r="K167" s="33" t="n"/>
      <c r="L167" s="154" t="n"/>
      <c r="M167" s="155" t="n">
        <v>46140</v>
      </c>
      <c r="N167" s="156" t="n"/>
      <c r="S167" s="0" t="n"/>
      <c r="T167" s="0" t="n"/>
      <c r="U167" s="0" t="n"/>
      <c r="V167" s="0" t="n"/>
    </row>
    <row outlineLevel="0" r="168">
      <c r="A168" s="106" t="s">
        <v>167</v>
      </c>
      <c r="B168" s="106" t="n"/>
      <c r="C168" s="107" t="n"/>
      <c r="D168" s="33" t="n"/>
      <c r="E168" s="33" t="n"/>
      <c r="F168" s="34" t="n"/>
      <c r="G168" s="33" t="n"/>
      <c r="H168" s="33" t="n"/>
      <c r="I168" s="34" t="n"/>
      <c r="J168" s="33" t="n"/>
      <c r="K168" s="33" t="n"/>
      <c r="L168" s="34" t="n"/>
      <c r="M168" s="34" t="n"/>
      <c r="N168" s="36" t="n"/>
      <c r="S168" s="0" t="n"/>
      <c r="T168" s="0" t="n"/>
      <c r="U168" s="0" t="n"/>
      <c r="V168" s="0" t="n"/>
    </row>
    <row outlineLevel="0" r="169">
      <c r="A169" s="106" t="n"/>
      <c r="B169" s="106" t="s">
        <v>167</v>
      </c>
      <c r="C169" s="107" t="n"/>
      <c r="D169" s="33" t="n"/>
      <c r="E169" s="33" t="n"/>
      <c r="F169" s="34" t="n"/>
      <c r="G169" s="33" t="n"/>
      <c r="H169" s="33" t="n"/>
      <c r="I169" s="34" t="n"/>
      <c r="J169" s="33" t="n"/>
      <c r="K169" s="33" t="n"/>
      <c r="L169" s="34" t="n"/>
      <c r="M169" s="34" t="n"/>
      <c r="N169" s="36" t="n"/>
      <c r="S169" s="0" t="n"/>
      <c r="T169" s="0" t="n"/>
      <c r="U169" s="0" t="n"/>
      <c r="V169" s="0" t="n"/>
    </row>
    <row outlineLevel="0" r="170">
      <c r="A170" s="147" t="n"/>
      <c r="B170" s="147" t="n"/>
      <c r="C170" s="147" t="s">
        <v>168</v>
      </c>
      <c r="D170" s="149" t="n"/>
      <c r="E170" s="149" t="n"/>
      <c r="F170" s="150" t="n"/>
      <c r="G170" s="149" t="n"/>
      <c r="H170" s="149" t="n"/>
      <c r="I170" s="150" t="n"/>
      <c r="J170" s="149" t="n"/>
      <c r="K170" s="149" t="n"/>
      <c r="L170" s="150" t="n"/>
      <c r="M170" s="150" t="n"/>
      <c r="N170" s="152" t="n"/>
      <c r="S170" s="0" t="n"/>
      <c r="T170" s="0" t="n"/>
      <c r="U170" s="0" t="n"/>
      <c r="V170" s="0" t="n"/>
    </row>
    <row outlineLevel="0" r="171">
      <c r="A171" s="106" t="n"/>
      <c r="B171" s="106" t="n"/>
      <c r="C171" s="153" t="n"/>
      <c r="D171" s="33" t="n"/>
      <c r="E171" s="33" t="n"/>
      <c r="F171" s="154" t="n"/>
      <c r="G171" s="33" t="n"/>
      <c r="H171" s="33" t="n"/>
      <c r="I171" s="154" t="n"/>
      <c r="J171" s="33" t="n"/>
      <c r="K171" s="33" t="n"/>
      <c r="L171" s="154" t="n"/>
      <c r="M171" s="155" t="n">
        <v>46141</v>
      </c>
      <c r="N171" s="156" t="n"/>
      <c r="S171" s="0" t="n"/>
      <c r="T171" s="0" t="n"/>
      <c r="U171" s="0" t="n"/>
      <c r="V171" s="0" t="n"/>
    </row>
    <row outlineLevel="0" r="172">
      <c r="A172" s="106" t="n"/>
      <c r="B172" s="106" t="n"/>
      <c r="C172" s="107" t="n"/>
      <c r="D172" s="33" t="n"/>
      <c r="E172" s="33" t="n"/>
      <c r="F172" s="34" t="n"/>
      <c r="G172" s="33" t="n"/>
      <c r="H172" s="33" t="n"/>
      <c r="I172" s="34" t="n"/>
      <c r="J172" s="33" t="s">
        <v>168</v>
      </c>
      <c r="K172" s="33" t="n"/>
      <c r="L172" s="34" t="n"/>
      <c r="M172" s="34" t="n"/>
      <c r="N172" s="36" t="n"/>
      <c r="S172" s="0" t="n"/>
      <c r="T172" s="0" t="n"/>
      <c r="U172" s="0" t="n"/>
      <c r="V172" s="0" t="n"/>
    </row>
    <row outlineLevel="0" r="173">
      <c r="A173" s="106" t="s">
        <v>167</v>
      </c>
      <c r="B173" s="106" t="n"/>
      <c r="C173" s="107" t="n"/>
      <c r="D173" s="33" t="n"/>
      <c r="E173" s="33" t="n"/>
      <c r="F173" s="34" t="n"/>
      <c r="G173" s="33" t="n"/>
      <c r="H173" s="33" t="n"/>
      <c r="I173" s="34" t="n"/>
      <c r="J173" s="33" t="n"/>
      <c r="K173" s="33" t="n"/>
      <c r="L173" s="34" t="n"/>
      <c r="M173" s="34" t="n"/>
      <c r="N173" s="36" t="n"/>
      <c r="S173" s="0" t="n"/>
      <c r="T173" s="0" t="n"/>
      <c r="U173" s="0" t="n"/>
      <c r="V173" s="0" t="n"/>
    </row>
    <row outlineLevel="0" r="174">
      <c r="A174" s="147" t="n"/>
      <c r="B174" s="147" t="n"/>
      <c r="C174" s="148" t="n"/>
      <c r="D174" s="157" t="s">
        <v>169</v>
      </c>
      <c r="E174" s="149" t="n"/>
      <c r="F174" s="150" t="n"/>
      <c r="G174" s="149" t="n"/>
      <c r="H174" s="149" t="n"/>
      <c r="I174" s="150" t="n"/>
      <c r="J174" s="149" t="n"/>
      <c r="K174" s="149" t="n"/>
      <c r="L174" s="150" t="n"/>
      <c r="M174" s="150" t="n"/>
      <c r="N174" s="152" t="n">
        <v>155.69</v>
      </c>
      <c r="O174" s="87" t="s">
        <v>170</v>
      </c>
      <c r="P174" s="87" t="n"/>
      <c r="Q174" s="87" t="n"/>
      <c r="R174" s="87" t="n"/>
      <c r="S174" s="87" t="n"/>
      <c r="T174" s="87" t="n"/>
      <c r="U174" s="87" t="n"/>
      <c r="V174" s="87" t="n"/>
      <c r="W174" s="87" t="n"/>
    </row>
    <row outlineLevel="0" r="175">
      <c r="A175" s="106" t="n"/>
      <c r="B175" s="106" t="n"/>
      <c r="C175" s="153" t="n"/>
      <c r="D175" s="33" t="n"/>
      <c r="E175" s="33" t="n"/>
      <c r="F175" s="154" t="n"/>
      <c r="G175" s="33" t="n"/>
      <c r="H175" s="33" t="n"/>
      <c r="I175" s="154" t="n"/>
      <c r="J175" s="33" t="n"/>
      <c r="K175" s="33" t="n"/>
      <c r="L175" s="154" t="n"/>
      <c r="M175" s="155" t="n">
        <v>46142</v>
      </c>
      <c r="N175" s="156" t="n"/>
      <c r="S175" s="0" t="n"/>
      <c r="T175" s="0" t="n"/>
      <c r="U175" s="0" t="n"/>
      <c r="V175" s="0" t="n"/>
    </row>
    <row outlineLevel="0" r="176">
      <c r="A176" s="106" t="n"/>
      <c r="B176" s="106" t="n"/>
      <c r="C176" s="107" t="n"/>
      <c r="D176" s="33" t="n"/>
      <c r="E176" s="33" t="n"/>
      <c r="F176" s="34" t="n"/>
      <c r="G176" s="33" t="n"/>
      <c r="H176" s="33" t="n"/>
      <c r="I176" s="34" t="n"/>
      <c r="J176" s="106" t="s">
        <v>167</v>
      </c>
      <c r="K176" s="33" t="n"/>
      <c r="L176" s="34" t="n"/>
      <c r="M176" s="34" t="n"/>
      <c r="N176" s="36" t="n"/>
      <c r="S176" s="0" t="n"/>
      <c r="T176" s="0" t="n"/>
      <c r="U176" s="0" t="n"/>
      <c r="V176" s="0" t="n"/>
    </row>
    <row outlineLevel="0" r="177">
      <c r="A177" s="106" t="n"/>
      <c r="B177" s="106" t="n"/>
      <c r="C177" s="107" t="n"/>
      <c r="D177" s="33" t="n"/>
      <c r="E177" s="33" t="n"/>
      <c r="F177" s="34" t="n"/>
      <c r="G177" s="33" t="n"/>
      <c r="H177" s="33" t="n"/>
      <c r="I177" s="34" t="n"/>
      <c r="J177" s="144" t="s">
        <v>167</v>
      </c>
      <c r="K177" s="33" t="n"/>
      <c r="L177" s="34" t="n"/>
      <c r="M177" s="34" t="n"/>
      <c r="N177" s="36" t="n"/>
      <c r="S177" s="0" t="n"/>
      <c r="T177" s="0" t="n"/>
      <c r="U177" s="0" t="n"/>
      <c r="V177" s="0" t="n"/>
    </row>
    <row outlineLevel="0" r="178">
      <c r="A178" s="147" t="n"/>
      <c r="B178" s="147" t="n"/>
      <c r="C178" s="148" t="n"/>
      <c r="D178" s="149" t="n"/>
      <c r="E178" s="149" t="n"/>
      <c r="F178" s="150" t="n"/>
      <c r="G178" s="149" t="n"/>
      <c r="H178" s="149" t="n"/>
      <c r="I178" s="150" t="n"/>
      <c r="J178" s="149" t="n"/>
      <c r="K178" s="149" t="n"/>
      <c r="L178" s="147" t="s">
        <v>167</v>
      </c>
      <c r="M178" s="150" t="n"/>
      <c r="N178" s="152" t="n"/>
      <c r="S178" s="0" t="n"/>
      <c r="T178" s="0" t="n"/>
      <c r="U178" s="0" t="n"/>
      <c r="V178" s="0" t="n"/>
    </row>
    <row outlineLevel="0" r="179">
      <c r="A179" s="106" t="n"/>
      <c r="B179" s="106" t="n"/>
      <c r="C179" s="153" t="n"/>
      <c r="D179" s="33" t="n"/>
      <c r="E179" s="33" t="n"/>
      <c r="F179" s="154" t="n"/>
      <c r="G179" s="33" t="n"/>
      <c r="H179" s="33" t="n"/>
      <c r="I179" s="154" t="n"/>
      <c r="J179" s="33" t="n"/>
      <c r="K179" s="33" t="n"/>
      <c r="L179" s="154" t="n"/>
      <c r="M179" s="155" t="n">
        <v>46143</v>
      </c>
      <c r="N179" s="156" t="n"/>
      <c r="S179" s="0" t="n"/>
      <c r="T179" s="0" t="n"/>
      <c r="U179" s="0" t="n"/>
      <c r="V179" s="0" t="n"/>
    </row>
    <row outlineLevel="0" r="180">
      <c r="A180" s="106" t="n"/>
      <c r="B180" s="106" t="n"/>
      <c r="C180" s="107" t="n"/>
      <c r="D180" s="33" t="n"/>
      <c r="E180" s="33" t="s">
        <v>171</v>
      </c>
      <c r="F180" s="34" t="n"/>
      <c r="G180" s="33" t="n"/>
      <c r="H180" s="33" t="n"/>
      <c r="I180" s="34" t="n"/>
      <c r="J180" s="33" t="n"/>
      <c r="K180" s="33" t="n"/>
      <c r="L180" s="34" t="n"/>
      <c r="M180" s="34" t="n"/>
      <c r="N180" s="36" t="n"/>
      <c r="S180" s="0" t="n"/>
      <c r="T180" s="0" t="n"/>
      <c r="U180" s="0" t="n"/>
      <c r="V180" s="0" t="n"/>
    </row>
    <row outlineLevel="0" r="181">
      <c r="A181" s="106" t="n"/>
      <c r="B181" s="106" t="n"/>
      <c r="C181" s="107" t="n"/>
      <c r="D181" s="19" t="s">
        <v>168</v>
      </c>
      <c r="E181" s="33" t="n"/>
      <c r="F181" s="34" t="n"/>
      <c r="G181" s="33" t="n"/>
      <c r="H181" s="33" t="n"/>
      <c r="I181" s="34" t="n"/>
      <c r="J181" s="33" t="n"/>
      <c r="K181" s="33" t="n"/>
      <c r="L181" s="34" t="n"/>
      <c r="M181" s="34" t="n"/>
      <c r="N181" s="36" t="n"/>
      <c r="S181" s="0" t="n"/>
      <c r="T181" s="0" t="n"/>
      <c r="U181" s="0" t="n"/>
      <c r="V181" s="0" t="n"/>
    </row>
    <row outlineLevel="0" r="182">
      <c r="A182" s="33" t="s">
        <v>171</v>
      </c>
      <c r="B182" s="106" t="n"/>
      <c r="C182" s="107" t="n"/>
      <c r="D182" s="33" t="n"/>
      <c r="E182" s="33" t="n"/>
      <c r="F182" s="34" t="n"/>
      <c r="G182" s="33" t="n"/>
      <c r="H182" s="33" t="n"/>
      <c r="I182" s="34" t="n"/>
      <c r="J182" s="33" t="n"/>
      <c r="K182" s="33" t="n"/>
      <c r="L182" s="34" t="n"/>
      <c r="M182" s="34" t="n"/>
      <c r="N182" s="36" t="n"/>
      <c r="S182" s="0" t="n"/>
      <c r="T182" s="0" t="n"/>
      <c r="U182" s="0" t="n"/>
      <c r="V182" s="0" t="n"/>
    </row>
    <row outlineLevel="0" r="183">
      <c r="A183" s="106" t="n"/>
      <c r="B183" s="106" t="n"/>
      <c r="C183" s="107" t="n"/>
      <c r="D183" s="33" t="n"/>
      <c r="E183" s="33" t="n"/>
      <c r="F183" s="34" t="s">
        <v>168</v>
      </c>
      <c r="G183" s="33" t="n"/>
      <c r="H183" s="33" t="n"/>
      <c r="I183" s="34" t="n"/>
      <c r="J183" s="33" t="n"/>
      <c r="K183" s="33" t="n"/>
      <c r="L183" s="34" t="n"/>
      <c r="M183" s="34" t="n"/>
      <c r="N183" s="36" t="n"/>
      <c r="S183" s="0" t="n"/>
      <c r="T183" s="0" t="n"/>
      <c r="U183" s="0" t="n"/>
      <c r="V183" s="0" t="n"/>
    </row>
    <row outlineLevel="0" r="184">
      <c r="A184" s="106" t="n"/>
      <c r="B184" s="106" t="n"/>
      <c r="C184" s="107" t="s">
        <v>172</v>
      </c>
      <c r="D184" s="33" t="n"/>
      <c r="E184" s="33" t="n"/>
      <c r="F184" s="34" t="n"/>
      <c r="G184" s="33" t="n"/>
      <c r="H184" s="33" t="n"/>
      <c r="I184" s="34" t="n"/>
      <c r="J184" s="33" t="n"/>
      <c r="K184" s="33" t="n"/>
      <c r="L184" s="34" t="n"/>
      <c r="M184" s="34" t="n"/>
      <c r="N184" s="36" t="n"/>
      <c r="S184" s="0" t="n"/>
      <c r="T184" s="0" t="n"/>
      <c r="U184" s="0" t="n"/>
      <c r="V184" s="0" t="n"/>
    </row>
    <row outlineLevel="0" r="185">
      <c r="A185" s="106" t="n"/>
      <c r="B185" s="106" t="n"/>
      <c r="C185" s="93" t="s">
        <v>173</v>
      </c>
      <c r="D185" s="33" t="n"/>
      <c r="E185" s="33" t="n"/>
      <c r="F185" s="34" t="n"/>
      <c r="G185" s="33" t="n"/>
      <c r="H185" s="33" t="n"/>
      <c r="I185" s="34" t="n"/>
      <c r="J185" s="33" t="n"/>
      <c r="K185" s="33" t="n"/>
      <c r="L185" s="34" t="n"/>
      <c r="M185" s="34" t="n"/>
      <c r="N185" s="36" t="n">
        <v>11.25</v>
      </c>
      <c r="O185" s="0" t="s">
        <v>174</v>
      </c>
      <c r="S185" s="0" t="n"/>
      <c r="T185" s="0" t="n"/>
      <c r="U185" s="0" t="n"/>
      <c r="V185" s="0" t="n"/>
    </row>
    <row outlineLevel="0" r="186">
      <c r="A186" s="147" t="n"/>
      <c r="B186" s="147" t="n"/>
      <c r="C186" s="148" t="n"/>
      <c r="D186" s="149" t="n"/>
      <c r="E186" s="149" t="n"/>
      <c r="F186" s="150" t="n"/>
      <c r="G186" s="149" t="n"/>
      <c r="H186" s="149" t="n"/>
      <c r="I186" s="150" t="n"/>
      <c r="J186" s="150" t="s">
        <v>167</v>
      </c>
      <c r="K186" s="149" t="n"/>
      <c r="L186" s="150" t="n"/>
      <c r="M186" s="150" t="n"/>
      <c r="N186" s="152" t="n"/>
      <c r="S186" s="0" t="n"/>
      <c r="T186" s="0" t="n"/>
      <c r="U186" s="0" t="n"/>
      <c r="V186" s="0" t="n"/>
    </row>
    <row outlineLevel="0" r="187">
      <c r="A187" s="106" t="n"/>
      <c r="B187" s="106" t="n"/>
      <c r="C187" s="153" t="n"/>
      <c r="D187" s="33" t="n"/>
      <c r="E187" s="33" t="n"/>
      <c r="F187" s="154" t="n"/>
      <c r="G187" s="33" t="n"/>
      <c r="H187" s="33" t="n"/>
      <c r="I187" s="154" t="n"/>
      <c r="J187" s="33" t="n"/>
      <c r="K187" s="33" t="n"/>
      <c r="L187" s="154" t="n"/>
      <c r="M187" s="155" t="n">
        <v>46147</v>
      </c>
      <c r="N187" s="156" t="n"/>
      <c r="S187" s="0" t="n"/>
      <c r="T187" s="0" t="n"/>
      <c r="U187" s="0" t="n"/>
      <c r="V187" s="0" t="n"/>
    </row>
    <row outlineLevel="0" r="188">
      <c r="A188" s="106" t="n"/>
      <c r="B188" s="106" t="n"/>
      <c r="C188" s="107" t="n"/>
      <c r="D188" s="33" t="n"/>
      <c r="E188" s="33" t="n"/>
      <c r="F188" s="34" t="n"/>
      <c r="G188" s="33" t="n"/>
      <c r="H188" s="33" t="n"/>
      <c r="I188" s="34" t="n"/>
      <c r="J188" s="19" t="s">
        <v>168</v>
      </c>
      <c r="K188" s="33" t="n"/>
      <c r="L188" s="34" t="n"/>
      <c r="M188" s="34" t="n"/>
      <c r="N188" s="36" t="n"/>
      <c r="S188" s="0" t="n"/>
      <c r="T188" s="0" t="n"/>
      <c r="U188" s="0" t="n"/>
      <c r="V188" s="0" t="n"/>
    </row>
    <row outlineLevel="0" r="189">
      <c r="A189" s="106" t="n"/>
      <c r="B189" s="106" t="n"/>
      <c r="C189" s="107" t="n"/>
      <c r="D189" s="33" t="n"/>
      <c r="E189" s="33" t="n"/>
      <c r="F189" s="34" t="n"/>
      <c r="G189" s="33" t="s">
        <v>171</v>
      </c>
      <c r="H189" s="33" t="n"/>
      <c r="I189" s="34" t="n"/>
      <c r="J189" s="33" t="n"/>
      <c r="K189" s="33" t="n"/>
      <c r="L189" s="34" t="n"/>
      <c r="M189" s="34" t="n"/>
      <c r="N189" s="36" t="n"/>
      <c r="S189" s="0" t="n"/>
      <c r="T189" s="0" t="n"/>
      <c r="U189" s="0" t="n"/>
      <c r="V189" s="0" t="n"/>
    </row>
    <row outlineLevel="0" r="190">
      <c r="A190" s="106" t="n"/>
      <c r="B190" s="106" t="n"/>
      <c r="C190" s="107" t="n"/>
      <c r="D190" s="33" t="n"/>
      <c r="E190" s="33" t="n"/>
      <c r="F190" s="34" t="n"/>
      <c r="G190" s="33" t="n"/>
      <c r="H190" s="33" t="n"/>
      <c r="I190" s="34" t="s">
        <v>175</v>
      </c>
      <c r="J190" s="33" t="n"/>
      <c r="K190" s="33" t="n"/>
      <c r="L190" s="34" t="n"/>
      <c r="M190" s="34" t="n"/>
      <c r="N190" s="36" t="n"/>
      <c r="S190" s="0" t="n"/>
      <c r="T190" s="0" t="n"/>
      <c r="U190" s="0" t="n"/>
      <c r="V190" s="0" t="n"/>
    </row>
    <row outlineLevel="0" r="191">
      <c r="A191" s="147" t="n"/>
      <c r="B191" s="147" t="n"/>
      <c r="C191" s="148" t="n"/>
      <c r="D191" s="149" t="n"/>
      <c r="E191" s="149" t="n"/>
      <c r="F191" s="150" t="n"/>
      <c r="G191" s="149" t="n"/>
      <c r="H191" s="149" t="n"/>
      <c r="I191" s="150" t="n"/>
      <c r="J191" s="149" t="n"/>
      <c r="K191" s="149" t="n"/>
      <c r="L191" s="150" t="s">
        <v>176</v>
      </c>
      <c r="M191" s="150" t="n"/>
      <c r="N191" s="152" t="n"/>
      <c r="S191" s="0" t="n"/>
      <c r="T191" s="0" t="n"/>
      <c r="U191" s="0" t="n"/>
      <c r="V191" s="0" t="n"/>
    </row>
    <row outlineLevel="0" r="192">
      <c r="A192" s="106" t="n"/>
      <c r="B192" s="106" t="n"/>
      <c r="C192" s="153" t="n"/>
      <c r="D192" s="33" t="n"/>
      <c r="E192" s="33" t="n"/>
      <c r="F192" s="154" t="n"/>
      <c r="G192" s="33" t="n"/>
      <c r="H192" s="33" t="n"/>
      <c r="I192" s="154" t="n"/>
      <c r="J192" s="33" t="n"/>
      <c r="K192" s="33" t="n"/>
      <c r="L192" s="154" t="n"/>
      <c r="M192" s="155" t="n">
        <v>46148</v>
      </c>
      <c r="N192" s="156" t="n"/>
      <c r="S192" s="0" t="n"/>
      <c r="T192" s="0" t="n"/>
      <c r="U192" s="0" t="n"/>
      <c r="V192" s="0" t="n"/>
    </row>
    <row outlineLevel="0" r="193">
      <c r="A193" s="147" t="n"/>
      <c r="B193" s="147" t="n"/>
      <c r="C193" s="148" t="n"/>
      <c r="D193" s="148" t="s">
        <v>172</v>
      </c>
      <c r="E193" s="149" t="n"/>
      <c r="F193" s="150" t="n"/>
      <c r="G193" s="149" t="n"/>
      <c r="H193" s="149" t="n"/>
      <c r="I193" s="150" t="n"/>
      <c r="J193" s="149" t="n"/>
      <c r="K193" s="149" t="n"/>
      <c r="L193" s="150" t="n"/>
      <c r="M193" s="150" t="n"/>
      <c r="N193" s="152" t="n"/>
      <c r="S193" s="0" t="n"/>
      <c r="T193" s="0" t="n"/>
      <c r="U193" s="0" t="n"/>
      <c r="V193" s="0" t="n"/>
    </row>
    <row outlineLevel="0" r="194">
      <c r="A194" s="106" t="n"/>
      <c r="B194" s="106" t="n"/>
      <c r="C194" s="153" t="n"/>
      <c r="D194" s="33" t="n"/>
      <c r="E194" s="33" t="n"/>
      <c r="F194" s="154" t="n"/>
      <c r="G194" s="33" t="n"/>
      <c r="H194" s="33" t="n"/>
      <c r="I194" s="154" t="n"/>
      <c r="J194" s="33" t="n"/>
      <c r="K194" s="33" t="n"/>
      <c r="L194" s="154" t="n"/>
      <c r="M194" s="155" t="n">
        <v>46150</v>
      </c>
      <c r="N194" s="156" t="n"/>
      <c r="S194" s="0" t="n"/>
      <c r="T194" s="0" t="n"/>
      <c r="U194" s="0" t="n"/>
      <c r="V194" s="0" t="n"/>
    </row>
    <row outlineLevel="0" r="195">
      <c r="A195" s="106" t="s">
        <v>177</v>
      </c>
      <c r="B195" s="106" t="n"/>
      <c r="C195" s="107" t="n"/>
      <c r="D195" s="33" t="n"/>
      <c r="E195" s="33" t="n"/>
      <c r="F195" s="34" t="n"/>
      <c r="G195" s="33" t="n"/>
      <c r="H195" s="33" t="n"/>
      <c r="I195" s="34" t="n"/>
      <c r="J195" s="33" t="n"/>
      <c r="K195" s="33" t="n"/>
      <c r="L195" s="34" t="n"/>
      <c r="M195" s="34" t="n"/>
      <c r="N195" s="36" t="n"/>
      <c r="S195" s="0" t="n"/>
      <c r="T195" s="0" t="n"/>
      <c r="U195" s="0" t="n"/>
      <c r="V195" s="0" t="n"/>
    </row>
    <row outlineLevel="0" r="196">
      <c r="A196" s="106" t="n"/>
      <c r="B196" s="106" t="n"/>
      <c r="C196" s="107" t="n"/>
      <c r="D196" s="33" t="n"/>
      <c r="E196" s="33" t="n"/>
      <c r="F196" s="34" t="n"/>
      <c r="G196" s="33" t="n"/>
      <c r="H196" s="33" t="n"/>
      <c r="I196" s="34" t="n"/>
      <c r="J196" s="146" t="s">
        <v>178</v>
      </c>
      <c r="K196" s="33" t="n"/>
      <c r="L196" s="34" t="n"/>
      <c r="M196" s="34" t="n"/>
      <c r="N196" s="36" t="n">
        <v>-387.92000000000002</v>
      </c>
      <c r="S196" s="0" t="n"/>
      <c r="T196" s="0" t="n"/>
      <c r="U196" s="0" t="n"/>
      <c r="V196" s="0" t="n"/>
    </row>
    <row outlineLevel="0" r="197">
      <c r="A197" s="147" t="n"/>
      <c r="B197" s="147" t="n"/>
      <c r="C197" s="148" t="n"/>
      <c r="D197" s="158" t="s">
        <v>179</v>
      </c>
      <c r="E197" s="149" t="n"/>
      <c r="F197" s="150" t="n"/>
      <c r="G197" s="149" t="n"/>
      <c r="H197" s="149" t="n"/>
      <c r="I197" s="150" t="n"/>
      <c r="J197" s="149" t="n"/>
      <c r="K197" s="149" t="n"/>
      <c r="L197" s="150" t="n"/>
      <c r="M197" s="150" t="n"/>
      <c r="N197" s="152" t="n">
        <v>-434.55000000000001</v>
      </c>
      <c r="S197" s="0" t="n"/>
      <c r="T197" s="0" t="n"/>
      <c r="U197" s="0" t="n"/>
      <c r="V197" s="0" t="n"/>
    </row>
    <row outlineLevel="0" r="198">
      <c r="A198" s="106" t="n"/>
      <c r="B198" s="106" t="n"/>
      <c r="C198" s="153" t="n"/>
      <c r="D198" s="33" t="n"/>
      <c r="E198" s="33" t="n"/>
      <c r="F198" s="154" t="n"/>
      <c r="G198" s="33" t="n"/>
      <c r="H198" s="33" t="n"/>
      <c r="I198" s="154" t="n"/>
      <c r="J198" s="33" t="n"/>
      <c r="K198" s="33" t="n"/>
      <c r="L198" s="154" t="n"/>
      <c r="M198" s="155" t="n">
        <v>46153</v>
      </c>
      <c r="N198" s="156" t="n"/>
      <c r="S198" s="0" t="n"/>
      <c r="T198" s="0" t="n"/>
      <c r="U198" s="0" t="n"/>
      <c r="V198" s="0" t="n"/>
    </row>
    <row outlineLevel="0" r="199">
      <c r="A199" s="147" t="n"/>
      <c r="B199" s="147" t="n"/>
      <c r="C199" s="148" t="n"/>
      <c r="D199" s="159" t="s">
        <v>168</v>
      </c>
      <c r="E199" s="149" t="n"/>
      <c r="F199" s="150" t="n"/>
      <c r="G199" s="149" t="n"/>
      <c r="H199" s="149" t="n"/>
      <c r="I199" s="150" t="n"/>
      <c r="J199" s="149" t="n"/>
      <c r="K199" s="149" t="n"/>
      <c r="L199" s="150" t="n"/>
      <c r="M199" s="150" t="n"/>
      <c r="N199" s="152" t="n"/>
      <c r="S199" s="0" t="n"/>
      <c r="T199" s="0" t="n"/>
      <c r="U199" s="0" t="n"/>
      <c r="V199" s="0" t="n"/>
    </row>
    <row outlineLevel="0" r="200">
      <c r="A200" s="106" t="n"/>
      <c r="B200" s="106" t="n"/>
      <c r="C200" s="153" t="n"/>
      <c r="D200" s="33" t="n"/>
      <c r="E200" s="33" t="n"/>
      <c r="F200" s="154" t="n"/>
      <c r="G200" s="33" t="n"/>
      <c r="H200" s="33" t="n"/>
      <c r="I200" s="154" t="n"/>
      <c r="J200" s="33" t="n"/>
      <c r="K200" s="33" t="n"/>
      <c r="L200" s="154" t="n"/>
      <c r="M200" s="155" t="n">
        <v>46155</v>
      </c>
      <c r="N200" s="156" t="n"/>
      <c r="S200" s="0" t="n"/>
      <c r="T200" s="0" t="n"/>
      <c r="U200" s="0" t="n"/>
      <c r="V200" s="0" t="n"/>
    </row>
    <row outlineLevel="0" r="201">
      <c r="A201" s="106" t="n"/>
      <c r="B201" s="106" t="n"/>
      <c r="C201" s="107" t="n"/>
      <c r="D201" s="33" t="n"/>
      <c r="E201" s="33" t="n"/>
      <c r="F201" s="34" t="n"/>
      <c r="G201" s="33" t="n"/>
      <c r="H201" s="33" t="n"/>
      <c r="I201" s="34" t="n"/>
      <c r="J201" s="33" t="n"/>
      <c r="K201" s="33" t="n"/>
      <c r="L201" s="34" t="n"/>
      <c r="M201" s="34" t="n"/>
      <c r="N201" s="36" t="n"/>
      <c r="S201" s="0" t="n"/>
      <c r="T201" s="0" t="n"/>
      <c r="U201" s="0" t="n"/>
      <c r="V201" s="0" t="n"/>
    </row>
    <row outlineLevel="0" r="202">
      <c r="A202" s="106" t="n"/>
      <c r="B202" s="106" t="n"/>
      <c r="C202" s="107" t="n"/>
      <c r="D202" s="33" t="n"/>
      <c r="E202" s="33" t="n"/>
      <c r="F202" s="34" t="n"/>
      <c r="G202" s="33" t="n"/>
      <c r="H202" s="33" t="n"/>
      <c r="I202" s="34" t="n"/>
      <c r="J202" s="106" t="s">
        <v>180</v>
      </c>
      <c r="K202" s="33" t="n"/>
      <c r="L202" s="34" t="n"/>
      <c r="M202" s="34" t="n"/>
      <c r="N202" s="36" t="n"/>
      <c r="S202" s="0" t="n"/>
      <c r="T202" s="0" t="n"/>
      <c r="U202" s="0" t="n"/>
      <c r="V202" s="0" t="n"/>
    </row>
    <row outlineLevel="0" r="203">
      <c r="A203" s="147" t="n"/>
      <c r="B203" s="147" t="n"/>
      <c r="C203" s="148" t="n"/>
      <c r="D203" s="149" t="n"/>
      <c r="E203" s="149" t="n"/>
      <c r="F203" s="150" t="n"/>
      <c r="G203" s="149" t="n"/>
      <c r="H203" s="149" t="n"/>
      <c r="I203" s="150" t="n"/>
      <c r="J203" s="160" t="s">
        <v>181</v>
      </c>
      <c r="K203" s="149" t="n"/>
      <c r="L203" s="150" t="n"/>
      <c r="M203" s="150" t="n"/>
      <c r="N203" s="152" t="n"/>
      <c r="O203" s="0" t="s">
        <v>182</v>
      </c>
      <c r="S203" s="0" t="n"/>
      <c r="T203" s="0" t="n"/>
      <c r="U203" s="0" t="n"/>
      <c r="V203" s="0" t="n"/>
    </row>
    <row outlineLevel="0" r="204">
      <c r="A204" s="106" t="n"/>
      <c r="B204" s="106" t="n"/>
      <c r="C204" s="153" t="n"/>
      <c r="D204" s="33" t="n"/>
      <c r="E204" s="33" t="n"/>
      <c r="F204" s="154" t="n"/>
      <c r="G204" s="33" t="n"/>
      <c r="H204" s="33" t="n"/>
      <c r="I204" s="154" t="n"/>
      <c r="J204" s="33" t="n"/>
      <c r="K204" s="33" t="n"/>
      <c r="L204" s="154" t="n"/>
      <c r="M204" s="155" t="n">
        <v>46156</v>
      </c>
      <c r="N204" s="156" t="n"/>
      <c r="S204" s="0" t="n"/>
      <c r="T204" s="0" t="n"/>
      <c r="U204" s="0" t="n"/>
      <c r="V204" s="0" t="n"/>
    </row>
    <row outlineLevel="0" r="205">
      <c r="A205" s="106" t="n"/>
      <c r="B205" s="106" t="n"/>
      <c r="C205" s="107" t="n"/>
      <c r="D205" s="33" t="n"/>
      <c r="E205" s="33" t="n"/>
      <c r="F205" s="34" t="n"/>
      <c r="G205" s="33" t="s">
        <v>183</v>
      </c>
      <c r="H205" s="33" t="n"/>
      <c r="I205" s="34" t="n"/>
      <c r="J205" s="33" t="n"/>
      <c r="K205" s="33" t="n"/>
      <c r="L205" s="34" t="n"/>
      <c r="M205" s="34" t="n"/>
      <c r="N205" s="36" t="n"/>
      <c r="S205" s="0" t="n"/>
      <c r="T205" s="0" t="n"/>
      <c r="U205" s="0" t="n"/>
      <c r="V205" s="0" t="n"/>
    </row>
    <row outlineLevel="0" r="206">
      <c r="A206" s="106" t="n"/>
      <c r="B206" s="106" t="n"/>
      <c r="C206" s="107" t="n"/>
      <c r="D206" s="33" t="n"/>
      <c r="E206" s="33" t="n"/>
      <c r="F206" s="34" t="n"/>
      <c r="G206" s="33" t="n"/>
      <c r="H206" s="33" t="n"/>
      <c r="I206" s="34" t="s">
        <v>184</v>
      </c>
      <c r="J206" s="33" t="n"/>
      <c r="K206" s="33" t="n"/>
      <c r="L206" s="34" t="n"/>
      <c r="M206" s="34" t="n"/>
      <c r="N206" s="36" t="n"/>
      <c r="S206" s="0" t="n"/>
      <c r="T206" s="0" t="n"/>
      <c r="U206" s="0" t="n"/>
      <c r="V206" s="0" t="n"/>
    </row>
    <row outlineLevel="0" r="207">
      <c r="A207" s="106" t="n"/>
      <c r="B207" s="106" t="n"/>
      <c r="C207" s="107" t="n"/>
      <c r="D207" s="33" t="n"/>
      <c r="E207" s="33" t="n"/>
      <c r="F207" s="34" t="n"/>
      <c r="G207" s="33" t="n"/>
      <c r="H207" s="33" t="n"/>
      <c r="I207" s="34" t="n"/>
      <c r="J207" s="33" t="s">
        <v>185</v>
      </c>
      <c r="K207" s="33" t="n"/>
      <c r="L207" s="34" t="n"/>
      <c r="M207" s="34" t="n"/>
      <c r="N207" s="36" t="n"/>
      <c r="S207" s="0" t="n"/>
      <c r="T207" s="0" t="n"/>
      <c r="U207" s="0" t="n"/>
      <c r="V207" s="0" t="n"/>
    </row>
    <row outlineLevel="0" r="208">
      <c r="A208" s="106" t="n"/>
      <c r="B208" s="106" t="n"/>
      <c r="C208" s="107" t="n"/>
      <c r="D208" s="33" t="n"/>
      <c r="E208" s="33" t="n"/>
      <c r="F208" s="34" t="n"/>
      <c r="G208" s="33" t="n"/>
      <c r="H208" s="33" t="n"/>
      <c r="I208" s="34" t="n"/>
      <c r="J208" s="33" t="n"/>
      <c r="K208" s="161" t="s">
        <v>186</v>
      </c>
      <c r="L208" s="34" t="n"/>
      <c r="M208" s="34" t="n"/>
      <c r="N208" s="36" t="n"/>
      <c r="S208" s="0" t="n"/>
      <c r="T208" s="0" t="n"/>
      <c r="U208" s="0" t="n"/>
      <c r="V208" s="0" t="n"/>
    </row>
    <row outlineLevel="0" r="209">
      <c r="A209" s="106" t="n"/>
      <c r="B209" s="106" t="n"/>
      <c r="C209" s="107" t="n"/>
      <c r="D209" s="33" t="n"/>
      <c r="E209" s="33" t="n"/>
      <c r="F209" s="34" t="n"/>
      <c r="G209" s="33" t="n"/>
      <c r="H209" s="33" t="n"/>
      <c r="I209" s="34" t="n"/>
      <c r="J209" s="33" t="s">
        <v>187</v>
      </c>
      <c r="K209" s="33" t="n"/>
      <c r="L209" s="34" t="n"/>
      <c r="M209" s="34" t="n"/>
      <c r="N209" s="36" t="n"/>
      <c r="S209" s="0" t="n"/>
      <c r="T209" s="0" t="n"/>
      <c r="U209" s="0" t="n"/>
      <c r="V209" s="0" t="n"/>
    </row>
    <row outlineLevel="0" r="210">
      <c r="A210" s="106" t="n"/>
      <c r="B210" s="106" t="n"/>
      <c r="C210" s="107" t="n"/>
      <c r="D210" s="33" t="n"/>
      <c r="E210" s="33" t="n"/>
      <c r="F210" s="34" t="n"/>
      <c r="G210" s="33" t="n"/>
      <c r="H210" s="33" t="n"/>
      <c r="I210" s="34" t="n"/>
      <c r="J210" s="33" t="n"/>
      <c r="K210" s="33" t="n"/>
      <c r="L210" s="34" t="n"/>
      <c r="M210" s="34" t="n"/>
      <c r="N210" s="36" t="n"/>
      <c r="S210" s="0" t="n"/>
      <c r="T210" s="0" t="n"/>
      <c r="U210" s="0" t="n"/>
      <c r="V210" s="0" t="n"/>
    </row>
    <row outlineLevel="0" r="211">
      <c r="A211" s="106" t="n"/>
      <c r="B211" s="106" t="n"/>
      <c r="C211" s="107" t="n"/>
      <c r="D211" s="33" t="n"/>
      <c r="E211" s="33" t="n"/>
      <c r="F211" s="34" t="n"/>
      <c r="G211" s="33" t="n"/>
      <c r="H211" s="33" t="n"/>
      <c r="I211" s="34" t="n"/>
      <c r="J211" s="33" t="n"/>
      <c r="K211" s="33" t="n"/>
      <c r="L211" s="34" t="n"/>
      <c r="M211" s="34" t="n"/>
      <c r="N211" s="36" t="n"/>
      <c r="S211" s="0" t="n"/>
      <c r="T211" s="0" t="n"/>
      <c r="U211" s="0" t="n"/>
      <c r="V211" s="0" t="n"/>
    </row>
    <row outlineLevel="0" r="212">
      <c r="A212" s="106" t="n"/>
      <c r="B212" s="106" t="n"/>
      <c r="C212" s="107" t="n"/>
      <c r="D212" s="33" t="n"/>
      <c r="E212" s="33" t="n"/>
      <c r="F212" s="34" t="n"/>
      <c r="G212" s="33" t="n"/>
      <c r="H212" s="33" t="n"/>
      <c r="I212" s="34" t="n"/>
      <c r="J212" s="33" t="n"/>
      <c r="K212" s="33" t="n"/>
      <c r="L212" s="34" t="n"/>
      <c r="M212" s="34" t="n"/>
      <c r="N212" s="36" t="n"/>
      <c r="S212" s="0" t="n"/>
      <c r="T212" s="0" t="n"/>
      <c r="U212" s="0" t="n"/>
      <c r="V212" s="0" t="n"/>
    </row>
    <row outlineLevel="0" r="213">
      <c r="A213" s="106" t="n"/>
      <c r="B213" s="106" t="n"/>
      <c r="C213" s="107" t="n"/>
      <c r="D213" s="33" t="n"/>
      <c r="E213" s="33" t="n"/>
      <c r="F213" s="34" t="n"/>
      <c r="G213" s="33" t="n"/>
      <c r="H213" s="33" t="n"/>
      <c r="I213" s="34" t="n"/>
      <c r="J213" s="33" t="n"/>
      <c r="K213" s="33" t="n"/>
      <c r="L213" s="34" t="n"/>
      <c r="M213" s="34" t="n"/>
      <c r="N213" s="36" t="n"/>
      <c r="S213" s="0" t="n"/>
      <c r="T213" s="0" t="n"/>
      <c r="U213" s="0" t="n"/>
      <c r="V213" s="0" t="n"/>
    </row>
    <row outlineLevel="0" r="214">
      <c r="A214" s="106" t="n"/>
      <c r="B214" s="106" t="n"/>
      <c r="C214" s="107" t="n"/>
      <c r="D214" s="33" t="n"/>
      <c r="E214" s="33" t="n"/>
      <c r="F214" s="34" t="n"/>
      <c r="G214" s="33" t="n"/>
      <c r="H214" s="33" t="n"/>
      <c r="I214" s="34" t="n"/>
      <c r="J214" s="33" t="n"/>
      <c r="K214" s="33" t="n"/>
      <c r="L214" s="34" t="n"/>
      <c r="M214" s="34" t="n"/>
      <c r="N214" s="36" t="n"/>
      <c r="S214" s="0" t="n"/>
      <c r="T214" s="0" t="n"/>
      <c r="U214" s="0" t="n"/>
      <c r="V214" s="0" t="n"/>
    </row>
    <row outlineLevel="0" r="215">
      <c r="A215" s="106" t="n"/>
      <c r="B215" s="106" t="n"/>
      <c r="C215" s="107" t="n"/>
      <c r="D215" s="33" t="n"/>
      <c r="E215" s="33" t="n"/>
      <c r="F215" s="34" t="n"/>
      <c r="G215" s="33" t="n"/>
      <c r="H215" s="33" t="n"/>
      <c r="I215" s="34" t="n"/>
      <c r="J215" s="33" t="n"/>
      <c r="K215" s="33" t="n"/>
      <c r="L215" s="34" t="n"/>
      <c r="M215" s="34" t="n"/>
      <c r="N215" s="36" t="n"/>
      <c r="S215" s="0" t="n"/>
      <c r="T215" s="0" t="n"/>
      <c r="U215" s="0" t="n"/>
      <c r="V215" s="0" t="n"/>
    </row>
    <row outlineLevel="0" r="216">
      <c r="A216" s="106" t="n"/>
      <c r="B216" s="106" t="n"/>
      <c r="C216" s="107" t="n"/>
      <c r="D216" s="33" t="n"/>
      <c r="E216" s="33" t="n"/>
      <c r="F216" s="34" t="n"/>
      <c r="G216" s="33" t="n"/>
      <c r="H216" s="33" t="n"/>
      <c r="I216" s="34" t="n"/>
      <c r="J216" s="33" t="n"/>
      <c r="K216" s="33" t="n"/>
      <c r="L216" s="34" t="n"/>
      <c r="M216" s="34" t="n"/>
      <c r="N216" s="36" t="n"/>
      <c r="S216" s="0" t="n"/>
      <c r="T216" s="0" t="n"/>
      <c r="U216" s="0" t="n"/>
      <c r="V216" s="0" t="n"/>
    </row>
    <row outlineLevel="0" r="217">
      <c r="A217" s="106" t="n"/>
      <c r="B217" s="106" t="n"/>
      <c r="C217" s="107" t="n"/>
      <c r="D217" s="33" t="n"/>
      <c r="E217" s="33" t="n"/>
      <c r="F217" s="34" t="n"/>
      <c r="G217" s="33" t="n"/>
      <c r="H217" s="33" t="n"/>
      <c r="I217" s="34" t="n"/>
      <c r="J217" s="33" t="n"/>
      <c r="K217" s="33" t="n"/>
      <c r="L217" s="34" t="n"/>
      <c r="M217" s="34" t="n"/>
      <c r="N217" s="36" t="n"/>
      <c r="S217" s="0" t="n"/>
      <c r="T217" s="0" t="n"/>
      <c r="U217" s="0" t="n"/>
      <c r="V217" s="0" t="n"/>
    </row>
    <row outlineLevel="0" r="218">
      <c r="A218" s="106" t="n"/>
      <c r="B218" s="106" t="n"/>
      <c r="C218" s="107" t="n"/>
      <c r="D218" s="33" t="n"/>
      <c r="E218" s="33" t="n"/>
      <c r="F218" s="34" t="n"/>
      <c r="G218" s="33" t="n"/>
      <c r="H218" s="33" t="n"/>
      <c r="I218" s="34" t="n"/>
      <c r="J218" s="33" t="n"/>
      <c r="K218" s="33" t="n"/>
      <c r="L218" s="34" t="n"/>
      <c r="M218" s="34" t="n"/>
      <c r="N218" s="36" t="n"/>
      <c r="S218" s="0" t="n"/>
      <c r="T218" s="0" t="n"/>
      <c r="U218" s="0" t="n"/>
      <c r="V218" s="0" t="n"/>
    </row>
    <row outlineLevel="0" r="219">
      <c r="A219" s="106" t="n"/>
      <c r="B219" s="106" t="n"/>
      <c r="C219" s="107" t="n"/>
      <c r="D219" s="33" t="n"/>
      <c r="E219" s="33" t="n"/>
      <c r="F219" s="34" t="n"/>
      <c r="G219" s="33" t="n"/>
      <c r="H219" s="33" t="n"/>
      <c r="I219" s="34" t="n"/>
      <c r="J219" s="33" t="n"/>
      <c r="K219" s="33" t="n"/>
      <c r="L219" s="34" t="n"/>
      <c r="M219" s="34" t="n"/>
      <c r="N219" s="36" t="n"/>
      <c r="S219" s="0" t="n"/>
      <c r="T219" s="0" t="n"/>
      <c r="U219" s="0" t="n"/>
      <c r="V219" s="0" t="n"/>
    </row>
    <row outlineLevel="0" r="220">
      <c r="A220" s="106" t="n"/>
      <c r="B220" s="106" t="n"/>
      <c r="C220" s="107" t="n"/>
      <c r="D220" s="33" t="n"/>
      <c r="E220" s="33" t="n"/>
      <c r="F220" s="34" t="n"/>
      <c r="G220" s="33" t="n"/>
      <c r="H220" s="33" t="n"/>
      <c r="I220" s="34" t="n"/>
      <c r="J220" s="33" t="n"/>
      <c r="K220" s="33" t="n"/>
      <c r="L220" s="34" t="n"/>
      <c r="M220" s="34" t="n"/>
      <c r="N220" s="36" t="n"/>
      <c r="S220" s="0" t="n"/>
      <c r="T220" s="0" t="n"/>
      <c r="U220" s="0" t="n"/>
      <c r="V220" s="0" t="n"/>
    </row>
    <row outlineLevel="0" r="221">
      <c r="A221" s="106" t="n"/>
      <c r="B221" s="106" t="n"/>
      <c r="C221" s="107" t="n"/>
      <c r="D221" s="33" t="n"/>
      <c r="E221" s="33" t="n"/>
      <c r="F221" s="34" t="n"/>
      <c r="G221" s="33" t="n"/>
      <c r="H221" s="33" t="n"/>
      <c r="I221" s="34" t="n"/>
      <c r="J221" s="33" t="n"/>
      <c r="K221" s="33" t="n"/>
      <c r="L221" s="34" t="n"/>
      <c r="M221" s="34" t="n"/>
      <c r="N221" s="36" t="n"/>
      <c r="S221" s="0" t="n"/>
      <c r="T221" s="0" t="n"/>
      <c r="U221" s="0" t="n"/>
      <c r="V221" s="0" t="n"/>
    </row>
    <row outlineLevel="0" r="222">
      <c r="A222" s="106" t="n"/>
      <c r="B222" s="106" t="n"/>
      <c r="C222" s="107" t="n"/>
      <c r="D222" s="33" t="n"/>
      <c r="E222" s="33" t="n"/>
      <c r="F222" s="34" t="n"/>
      <c r="G222" s="33" t="n"/>
      <c r="H222" s="33" t="n"/>
      <c r="I222" s="34" t="n"/>
      <c r="J222" s="33" t="n"/>
      <c r="K222" s="33" t="n"/>
      <c r="L222" s="34" t="n"/>
      <c r="M222" s="34" t="n"/>
      <c r="N222" s="36" t="n"/>
      <c r="O222" s="0" t="n"/>
      <c r="S222" s="0" t="n"/>
      <c r="T222" s="0" t="n"/>
      <c r="U222" s="0" t="n"/>
      <c r="V222" s="0" t="n"/>
    </row>
    <row outlineLevel="0" r="223">
      <c r="A223" s="106" t="n"/>
      <c r="B223" s="106" t="n"/>
      <c r="C223" s="107" t="n"/>
      <c r="D223" s="33" t="n"/>
      <c r="E223" s="33" t="n"/>
      <c r="F223" s="34" t="n"/>
      <c r="G223" s="33" t="n"/>
      <c r="H223" s="33" t="n"/>
      <c r="I223" s="34" t="n"/>
      <c r="J223" s="33" t="n"/>
      <c r="K223" s="33" t="n"/>
      <c r="L223" s="34" t="n"/>
      <c r="M223" s="34" t="n"/>
      <c r="N223" s="36" t="n"/>
      <c r="S223" s="0" t="n"/>
      <c r="T223" s="0" t="n"/>
      <c r="U223" s="0" t="n"/>
      <c r="V223" s="0" t="n"/>
    </row>
    <row outlineLevel="0" r="224">
      <c r="A224" s="106" t="n"/>
      <c r="B224" s="106" t="n"/>
      <c r="C224" s="107" t="n"/>
      <c r="D224" s="33" t="n"/>
      <c r="E224" s="33" t="n"/>
      <c r="F224" s="34" t="n"/>
      <c r="G224" s="33" t="n"/>
      <c r="H224" s="33" t="n"/>
      <c r="I224" s="34" t="n"/>
      <c r="J224" s="33" t="n"/>
      <c r="K224" s="33" t="n"/>
      <c r="L224" s="34" t="n"/>
      <c r="M224" s="34" t="n"/>
      <c r="N224" s="36" t="n"/>
      <c r="S224" s="0" t="n"/>
      <c r="T224" s="0" t="n"/>
      <c r="U224" s="0" t="n"/>
      <c r="V224" s="0" t="n"/>
    </row>
    <row outlineLevel="0" r="225">
      <c r="A225" s="106" t="n"/>
      <c r="B225" s="106" t="n"/>
      <c r="C225" s="107" t="n"/>
      <c r="D225" s="33" t="n"/>
      <c r="E225" s="33" t="n"/>
      <c r="F225" s="34" t="n"/>
      <c r="G225" s="33" t="n"/>
      <c r="H225" s="33" t="n"/>
      <c r="I225" s="34" t="n"/>
      <c r="J225" s="33" t="n"/>
      <c r="K225" s="33" t="n"/>
      <c r="L225" s="34" t="n"/>
      <c r="M225" s="34" t="n"/>
      <c r="N225" s="36" t="n"/>
      <c r="S225" s="0" t="n"/>
      <c r="T225" s="0" t="n"/>
      <c r="U225" s="0" t="n"/>
      <c r="V225" s="0" t="n"/>
    </row>
    <row outlineLevel="0" r="226">
      <c r="A226" s="106" t="n"/>
      <c r="B226" s="106" t="n"/>
      <c r="C226" s="107" t="n"/>
      <c r="D226" s="33" t="n"/>
      <c r="E226" s="33" t="n"/>
      <c r="F226" s="34" t="n"/>
      <c r="G226" s="33" t="n"/>
      <c r="H226" s="33" t="n"/>
      <c r="I226" s="34" t="n"/>
      <c r="J226" s="33" t="n"/>
      <c r="K226" s="33" t="n"/>
      <c r="L226" s="34" t="n"/>
      <c r="M226" s="34" t="n"/>
      <c r="N226" s="36" t="n"/>
      <c r="S226" s="0" t="n"/>
      <c r="T226" s="0" t="n"/>
      <c r="U226" s="0" t="n"/>
      <c r="V226" s="0" t="n"/>
    </row>
    <row outlineLevel="0" r="227">
      <c r="A227" s="106" t="n"/>
      <c r="B227" s="106" t="n"/>
      <c r="C227" s="107" t="n"/>
      <c r="D227" s="33" t="n"/>
      <c r="E227" s="33" t="n"/>
      <c r="F227" s="34" t="n"/>
      <c r="G227" s="33" t="n"/>
      <c r="H227" s="33" t="n"/>
      <c r="I227" s="34" t="n"/>
      <c r="J227" s="33" t="n"/>
      <c r="K227" s="33" t="n"/>
      <c r="L227" s="34" t="n"/>
      <c r="M227" s="34" t="n"/>
      <c r="N227" s="36" t="n"/>
      <c r="S227" s="0" t="n"/>
      <c r="T227" s="0" t="n"/>
      <c r="U227" s="0" t="n"/>
      <c r="V227" s="0" t="n"/>
    </row>
    <row outlineLevel="0" r="228">
      <c r="A228" s="106" t="n"/>
      <c r="B228" s="106" t="n"/>
      <c r="C228" s="107" t="n"/>
      <c r="D228" s="33" t="n"/>
      <c r="E228" s="33" t="n"/>
      <c r="F228" s="34" t="n"/>
      <c r="G228" s="33" t="n"/>
      <c r="H228" s="33" t="n"/>
      <c r="I228" s="34" t="n"/>
      <c r="J228" s="33" t="n"/>
      <c r="K228" s="33" t="n"/>
      <c r="L228" s="34" t="n"/>
      <c r="M228" s="34" t="n"/>
      <c r="N228" s="36" t="n"/>
      <c r="S228" s="0" t="n"/>
      <c r="T228" s="0" t="n"/>
      <c r="U228" s="0" t="n"/>
      <c r="V228" s="0" t="n"/>
    </row>
    <row outlineLevel="0" r="229">
      <c r="A229" s="106" t="n"/>
      <c r="B229" s="106" t="n"/>
      <c r="C229" s="107" t="n"/>
      <c r="D229" s="33" t="n"/>
      <c r="E229" s="33" t="n"/>
      <c r="F229" s="34" t="n"/>
      <c r="G229" s="33" t="n"/>
      <c r="H229" s="33" t="n"/>
      <c r="I229" s="34" t="n"/>
      <c r="J229" s="33" t="n"/>
      <c r="K229" s="33" t="n"/>
      <c r="L229" s="34" t="n"/>
      <c r="M229" s="34" t="n"/>
      <c r="N229" s="36" t="n"/>
      <c r="S229" s="0" t="n"/>
      <c r="T229" s="0" t="n"/>
      <c r="U229" s="0" t="n"/>
      <c r="V229" s="0" t="n"/>
    </row>
    <row outlineLevel="0" r="230">
      <c r="A230" s="106" t="n"/>
      <c r="B230" s="106" t="n"/>
      <c r="C230" s="107" t="n"/>
      <c r="D230" s="33" t="n"/>
      <c r="E230" s="33" t="n"/>
      <c r="F230" s="34" t="n"/>
      <c r="G230" s="33" t="n"/>
      <c r="H230" s="33" t="n"/>
      <c r="I230" s="34" t="n"/>
      <c r="J230" s="33" t="n"/>
      <c r="K230" s="33" t="n"/>
      <c r="L230" s="34" t="n"/>
      <c r="M230" s="34" t="n"/>
      <c r="N230" s="36" t="n"/>
      <c r="S230" s="0" t="n"/>
      <c r="T230" s="0" t="n"/>
      <c r="U230" s="0" t="n"/>
      <c r="V230" s="0" t="n"/>
    </row>
    <row outlineLevel="0" r="231">
      <c r="A231" s="106" t="n"/>
      <c r="B231" s="106" t="n"/>
      <c r="C231" s="107" t="n"/>
      <c r="D231" s="33" t="n"/>
      <c r="E231" s="33" t="n"/>
      <c r="F231" s="34" t="n"/>
      <c r="G231" s="33" t="n"/>
      <c r="H231" s="33" t="n"/>
      <c r="I231" s="34" t="n"/>
      <c r="J231" s="33" t="n"/>
      <c r="K231" s="33" t="n"/>
      <c r="L231" s="34" t="n"/>
      <c r="M231" s="34" t="n"/>
      <c r="N231" s="36" t="n"/>
      <c r="S231" s="0" t="n"/>
      <c r="T231" s="0" t="n"/>
      <c r="U231" s="0" t="n"/>
      <c r="V231" s="0" t="n"/>
    </row>
    <row outlineLevel="0" r="232">
      <c r="A232" s="106" t="n"/>
      <c r="B232" s="106" t="n"/>
      <c r="C232" s="107" t="n"/>
      <c r="D232" s="33" t="n"/>
      <c r="E232" s="33" t="n"/>
      <c r="F232" s="34" t="n"/>
      <c r="G232" s="33" t="n"/>
      <c r="H232" s="33" t="n"/>
      <c r="I232" s="34" t="n"/>
      <c r="J232" s="33" t="n"/>
      <c r="K232" s="33" t="n"/>
      <c r="L232" s="34" t="n"/>
      <c r="M232" s="34" t="n"/>
      <c r="N232" s="36" t="n"/>
      <c r="S232" s="0" t="n"/>
      <c r="T232" s="0" t="n"/>
      <c r="U232" s="0" t="n"/>
      <c r="V232" s="0" t="n"/>
    </row>
    <row outlineLevel="0" r="233">
      <c r="A233" s="106" t="n"/>
      <c r="B233" s="106" t="n"/>
      <c r="C233" s="107" t="n"/>
      <c r="D233" s="33" t="n"/>
      <c r="E233" s="33" t="n"/>
      <c r="F233" s="34" t="n"/>
      <c r="G233" s="33" t="n"/>
      <c r="H233" s="33" t="n"/>
      <c r="I233" s="34" t="n"/>
      <c r="J233" s="33" t="n"/>
      <c r="K233" s="33" t="n"/>
      <c r="L233" s="34" t="n"/>
      <c r="M233" s="34" t="n"/>
      <c r="N233" s="36" t="n"/>
      <c r="S233" s="0" t="n"/>
      <c r="T233" s="0" t="n"/>
      <c r="U233" s="0" t="n"/>
      <c r="V233" s="0" t="n"/>
    </row>
    <row outlineLevel="0" r="234">
      <c r="A234" s="106" t="n"/>
      <c r="B234" s="106" t="n"/>
      <c r="C234" s="107" t="n"/>
      <c r="D234" s="33" t="n"/>
      <c r="E234" s="33" t="n"/>
      <c r="F234" s="34" t="n"/>
      <c r="G234" s="33" t="n"/>
      <c r="H234" s="33" t="n"/>
      <c r="I234" s="34" t="n"/>
      <c r="J234" s="33" t="n"/>
      <c r="K234" s="33" t="n"/>
      <c r="L234" s="34" t="n"/>
      <c r="M234" s="34" t="n"/>
      <c r="N234" s="36" t="n"/>
      <c r="S234" s="0" t="n"/>
      <c r="T234" s="0" t="n"/>
      <c r="U234" s="0" t="n"/>
      <c r="V234" s="0" t="n"/>
    </row>
    <row outlineLevel="0" r="235">
      <c r="A235" s="106" t="n"/>
      <c r="B235" s="106" t="n"/>
      <c r="C235" s="107" t="n"/>
      <c r="D235" s="33" t="n"/>
      <c r="E235" s="33" t="n"/>
      <c r="F235" s="34" t="n"/>
      <c r="G235" s="33" t="n"/>
      <c r="H235" s="33" t="n"/>
      <c r="I235" s="34" t="n"/>
      <c r="J235" s="33" t="n"/>
      <c r="K235" s="33" t="n"/>
      <c r="L235" s="34" t="n"/>
      <c r="M235" s="34" t="n"/>
      <c r="N235" s="36" t="n"/>
      <c r="S235" s="0" t="n"/>
      <c r="T235" s="0" t="n"/>
      <c r="U235" s="0" t="n"/>
      <c r="V235" s="0" t="n"/>
    </row>
    <row outlineLevel="0" r="236">
      <c r="A236" s="106" t="n"/>
      <c r="B236" s="106" t="n"/>
      <c r="C236" s="107" t="n"/>
      <c r="D236" s="33" t="n"/>
      <c r="E236" s="33" t="n"/>
      <c r="F236" s="34" t="n"/>
      <c r="G236" s="33" t="n"/>
      <c r="H236" s="33" t="n"/>
      <c r="I236" s="34" t="n"/>
      <c r="J236" s="33" t="n"/>
      <c r="K236" s="33" t="n"/>
      <c r="L236" s="34" t="n"/>
      <c r="M236" s="34" t="n"/>
      <c r="N236" s="36" t="n"/>
      <c r="S236" s="0" t="n"/>
      <c r="T236" s="0" t="n"/>
      <c r="U236" s="0" t="n"/>
      <c r="V236" s="0" t="n"/>
    </row>
    <row outlineLevel="0" r="237">
      <c r="A237" s="106" t="n"/>
      <c r="B237" s="106" t="n"/>
      <c r="C237" s="107" t="n"/>
      <c r="D237" s="33" t="n"/>
      <c r="E237" s="33" t="n"/>
      <c r="F237" s="34" t="n"/>
      <c r="G237" s="33" t="n"/>
      <c r="H237" s="33" t="n"/>
      <c r="I237" s="34" t="n"/>
      <c r="J237" s="33" t="n"/>
      <c r="K237" s="33" t="n"/>
      <c r="L237" s="34" t="n"/>
      <c r="M237" s="34" t="n"/>
      <c r="N237" s="36" t="n"/>
      <c r="S237" s="0" t="n"/>
      <c r="T237" s="0" t="n"/>
      <c r="U237" s="0" t="n"/>
      <c r="V237" s="0" t="n"/>
    </row>
    <row outlineLevel="0" r="238">
      <c r="A238" s="106" t="n"/>
      <c r="B238" s="106" t="n"/>
      <c r="C238" s="107" t="n"/>
      <c r="D238" s="33" t="n"/>
      <c r="E238" s="33" t="n"/>
      <c r="F238" s="34" t="n"/>
      <c r="G238" s="33" t="n"/>
      <c r="H238" s="33" t="n"/>
      <c r="I238" s="34" t="n"/>
      <c r="J238" s="33" t="n"/>
      <c r="K238" s="33" t="n"/>
      <c r="L238" s="34" t="n"/>
      <c r="M238" s="34" t="n"/>
      <c r="N238" s="36" t="n"/>
      <c r="S238" s="0" t="n"/>
      <c r="T238" s="0" t="n"/>
      <c r="U238" s="0" t="n"/>
      <c r="V238" s="0" t="n"/>
    </row>
    <row outlineLevel="0" r="239">
      <c r="A239" s="106" t="n"/>
      <c r="B239" s="106" t="n"/>
      <c r="C239" s="107" t="n"/>
      <c r="D239" s="33" t="n"/>
      <c r="E239" s="33" t="n"/>
      <c r="F239" s="34" t="n"/>
      <c r="G239" s="33" t="n"/>
      <c r="H239" s="33" t="n"/>
      <c r="I239" s="34" t="n"/>
      <c r="J239" s="33" t="n"/>
      <c r="K239" s="33" t="n"/>
      <c r="L239" s="34" t="n"/>
      <c r="M239" s="34" t="n"/>
      <c r="N239" s="36" t="n"/>
      <c r="S239" s="0" t="n"/>
      <c r="T239" s="0" t="n"/>
      <c r="U239" s="0" t="n"/>
      <c r="V239" s="0" t="n"/>
    </row>
    <row outlineLevel="0" r="240">
      <c r="A240" s="106" t="n"/>
      <c r="B240" s="106" t="n"/>
      <c r="C240" s="107" t="n"/>
      <c r="D240" s="33" t="n"/>
      <c r="E240" s="33" t="n"/>
      <c r="F240" s="34" t="n"/>
      <c r="G240" s="33" t="n"/>
      <c r="H240" s="33" t="n"/>
      <c r="I240" s="34" t="n"/>
      <c r="J240" s="33" t="n"/>
      <c r="K240" s="33" t="n"/>
      <c r="L240" s="34" t="n"/>
      <c r="M240" s="34" t="n"/>
      <c r="N240" s="36" t="n"/>
      <c r="S240" s="0" t="n"/>
      <c r="T240" s="0" t="n"/>
      <c r="U240" s="0" t="n"/>
      <c r="V240" s="0" t="n"/>
    </row>
    <row outlineLevel="0" r="241">
      <c r="A241" s="106" t="n"/>
      <c r="B241" s="106" t="n"/>
      <c r="C241" s="107" t="n"/>
      <c r="D241" s="33" t="n"/>
      <c r="E241" s="33" t="n"/>
      <c r="F241" s="34" t="n"/>
      <c r="G241" s="33" t="n"/>
      <c r="H241" s="33" t="n"/>
      <c r="I241" s="34" t="n"/>
      <c r="J241" s="33" t="n"/>
      <c r="K241" s="33" t="n"/>
      <c r="L241" s="34" t="n"/>
      <c r="M241" s="34" t="n"/>
      <c r="N241" s="36" t="n"/>
      <c r="S241" s="0" t="n"/>
      <c r="T241" s="0" t="n"/>
      <c r="U241" s="0" t="n"/>
      <c r="V241" s="0" t="n"/>
    </row>
    <row outlineLevel="0" r="242">
      <c r="A242" s="106" t="n"/>
      <c r="B242" s="106" t="n"/>
      <c r="C242" s="107" t="n"/>
      <c r="D242" s="33" t="n"/>
      <c r="E242" s="33" t="n"/>
      <c r="F242" s="34" t="n"/>
      <c r="G242" s="33" t="n"/>
      <c r="H242" s="33" t="n"/>
      <c r="I242" s="34" t="n"/>
      <c r="J242" s="33" t="n"/>
      <c r="K242" s="33" t="n"/>
      <c r="L242" s="34" t="n"/>
      <c r="M242" s="34" t="n"/>
      <c r="N242" s="36" t="n"/>
      <c r="S242" s="0" t="n"/>
      <c r="T242" s="0" t="n"/>
      <c r="U242" s="0" t="n"/>
      <c r="V242" s="0" t="n"/>
    </row>
    <row outlineLevel="0" r="243">
      <c r="A243" s="106" t="n"/>
      <c r="B243" s="106" t="n"/>
      <c r="C243" s="107" t="n"/>
      <c r="D243" s="33" t="n"/>
      <c r="E243" s="33" t="n"/>
      <c r="F243" s="34" t="n"/>
      <c r="G243" s="33" t="n"/>
      <c r="H243" s="33" t="n"/>
      <c r="I243" s="34" t="n"/>
      <c r="J243" s="33" t="n"/>
      <c r="K243" s="33" t="n"/>
      <c r="L243" s="34" t="n"/>
      <c r="M243" s="34" t="n"/>
      <c r="N243" s="36" t="n"/>
      <c r="S243" s="0" t="n"/>
      <c r="T243" s="0" t="n"/>
      <c r="U243" s="0" t="n"/>
      <c r="V243" s="0" t="n"/>
    </row>
    <row outlineLevel="0" r="244">
      <c r="A244" s="106" t="n"/>
      <c r="B244" s="106" t="n"/>
      <c r="C244" s="107" t="n"/>
      <c r="D244" s="33" t="n"/>
      <c r="E244" s="33" t="n"/>
      <c r="F244" s="34" t="n"/>
      <c r="G244" s="33" t="n"/>
      <c r="H244" s="33" t="n"/>
      <c r="I244" s="34" t="n"/>
      <c r="J244" s="33" t="n"/>
      <c r="K244" s="33" t="n"/>
      <c r="L244" s="34" t="n"/>
      <c r="M244" s="34" t="n"/>
      <c r="N244" s="36" t="n"/>
      <c r="S244" s="0" t="n"/>
      <c r="T244" s="0" t="n"/>
      <c r="U244" s="0" t="n"/>
      <c r="V244" s="0" t="n"/>
    </row>
    <row outlineLevel="0" r="245">
      <c r="A245" s="106" t="n"/>
      <c r="B245" s="106" t="n"/>
      <c r="C245" s="107" t="n"/>
      <c r="D245" s="33" t="n"/>
      <c r="E245" s="33" t="n"/>
      <c r="F245" s="34" t="n"/>
      <c r="G245" s="33" t="n"/>
      <c r="H245" s="33" t="n"/>
      <c r="I245" s="34" t="n"/>
      <c r="J245" s="33" t="n"/>
      <c r="K245" s="33" t="n"/>
      <c r="L245" s="34" t="n"/>
      <c r="M245" s="34" t="n"/>
      <c r="N245" s="36" t="n"/>
      <c r="S245" s="0" t="n"/>
      <c r="T245" s="0" t="n"/>
      <c r="U245" s="0" t="n"/>
      <c r="V245" s="0" t="n"/>
    </row>
    <row outlineLevel="0" r="246">
      <c r="A246" s="106" t="n"/>
      <c r="B246" s="106" t="n"/>
      <c r="C246" s="107" t="n"/>
      <c r="D246" s="33" t="n"/>
      <c r="E246" s="33" t="n"/>
      <c r="F246" s="34" t="n"/>
      <c r="G246" s="33" t="n"/>
      <c r="H246" s="33" t="n"/>
      <c r="I246" s="34" t="n"/>
      <c r="J246" s="33" t="n"/>
      <c r="K246" s="33" t="n"/>
      <c r="L246" s="34" t="n"/>
      <c r="M246" s="34" t="n"/>
      <c r="N246" s="36" t="n"/>
      <c r="S246" s="0" t="n"/>
      <c r="T246" s="0" t="n"/>
      <c r="U246" s="0" t="n"/>
      <c r="V246" s="0" t="n"/>
    </row>
    <row outlineLevel="0" r="247">
      <c r="A247" s="106" t="n"/>
      <c r="B247" s="106" t="n"/>
      <c r="C247" s="107" t="n"/>
      <c r="D247" s="33" t="n"/>
      <c r="E247" s="33" t="n"/>
      <c r="F247" s="34" t="n"/>
      <c r="G247" s="33" t="n"/>
      <c r="H247" s="33" t="n"/>
      <c r="I247" s="34" t="n"/>
      <c r="J247" s="33" t="n"/>
      <c r="K247" s="33" t="n"/>
      <c r="L247" s="34" t="n"/>
      <c r="M247" s="34" t="n"/>
      <c r="N247" s="36" t="n"/>
      <c r="S247" s="0" t="n"/>
      <c r="T247" s="0" t="n"/>
      <c r="U247" s="0" t="n"/>
      <c r="V247" s="0" t="n"/>
    </row>
    <row outlineLevel="0" r="248">
      <c r="A248" s="106" t="n"/>
      <c r="B248" s="106" t="n"/>
      <c r="C248" s="107" t="n"/>
      <c r="D248" s="33" t="n"/>
      <c r="E248" s="33" t="n"/>
      <c r="F248" s="34" t="n"/>
      <c r="G248" s="33" t="n"/>
      <c r="H248" s="33" t="n"/>
      <c r="I248" s="34" t="n"/>
      <c r="J248" s="33" t="n"/>
      <c r="K248" s="33" t="n"/>
      <c r="L248" s="34" t="n"/>
      <c r="M248" s="34" t="n"/>
      <c r="N248" s="36" t="n"/>
      <c r="S248" s="0" t="n"/>
      <c r="T248" s="0" t="n"/>
      <c r="U248" s="0" t="n"/>
      <c r="V248" s="0" t="n"/>
    </row>
    <row outlineLevel="0" r="249">
      <c r="A249" s="106" t="n"/>
      <c r="B249" s="106" t="n"/>
      <c r="C249" s="107" t="n"/>
      <c r="D249" s="33" t="n"/>
      <c r="E249" s="33" t="n"/>
      <c r="F249" s="34" t="n"/>
      <c r="G249" s="33" t="n"/>
      <c r="H249" s="33" t="n"/>
      <c r="I249" s="34" t="n"/>
      <c r="J249" s="33" t="n"/>
      <c r="K249" s="33" t="n"/>
      <c r="L249" s="34" t="n"/>
      <c r="M249" s="34" t="n"/>
      <c r="N249" s="36" t="n"/>
      <c r="S249" s="0" t="n"/>
      <c r="T249" s="0" t="n"/>
      <c r="U249" s="0" t="n"/>
      <c r="V249" s="0" t="n"/>
    </row>
    <row outlineLevel="0" r="250">
      <c r="A250" s="106" t="n"/>
      <c r="B250" s="106" t="n"/>
      <c r="C250" s="107" t="n"/>
      <c r="D250" s="33" t="n"/>
      <c r="E250" s="33" t="n"/>
      <c r="F250" s="34" t="n"/>
      <c r="G250" s="33" t="n"/>
      <c r="H250" s="33" t="n"/>
      <c r="I250" s="34" t="n"/>
      <c r="J250" s="33" t="n"/>
      <c r="K250" s="33" t="n"/>
      <c r="L250" s="34" t="n"/>
      <c r="M250" s="34" t="n"/>
      <c r="N250" s="36" t="n"/>
      <c r="S250" s="0" t="n"/>
      <c r="T250" s="0" t="n"/>
      <c r="U250" s="0" t="n"/>
      <c r="V250" s="0" t="n"/>
    </row>
    <row outlineLevel="0" r="251">
      <c r="A251" s="106" t="n"/>
      <c r="B251" s="106" t="n"/>
      <c r="C251" s="107" t="n"/>
      <c r="D251" s="33" t="n"/>
      <c r="E251" s="33" t="n"/>
      <c r="F251" s="34" t="n"/>
      <c r="G251" s="33" t="n"/>
      <c r="H251" s="33" t="n"/>
      <c r="I251" s="34" t="n"/>
      <c r="J251" s="33" t="n"/>
      <c r="K251" s="33" t="n"/>
      <c r="L251" s="34" t="n"/>
      <c r="M251" s="34" t="n"/>
      <c r="N251" s="36" t="n"/>
      <c r="S251" s="0" t="n"/>
      <c r="T251" s="0" t="n"/>
      <c r="U251" s="0" t="n"/>
      <c r="V251" s="0" t="n"/>
    </row>
    <row outlineLevel="0" r="252">
      <c r="A252" s="106" t="n"/>
      <c r="B252" s="106" t="n"/>
      <c r="C252" s="107" t="n"/>
      <c r="D252" s="33" t="n"/>
      <c r="E252" s="33" t="n"/>
      <c r="F252" s="34" t="n"/>
      <c r="G252" s="33" t="n"/>
      <c r="H252" s="33" t="n"/>
      <c r="I252" s="34" t="n"/>
      <c r="J252" s="33" t="n"/>
      <c r="K252" s="33" t="n"/>
      <c r="L252" s="34" t="n"/>
      <c r="M252" s="34" t="n"/>
      <c r="N252" s="36" t="n"/>
      <c r="S252" s="0" t="n"/>
      <c r="T252" s="0" t="n"/>
      <c r="U252" s="0" t="n"/>
      <c r="V252" s="0" t="n"/>
    </row>
    <row outlineLevel="0" r="253">
      <c r="A253" s="106" t="n"/>
      <c r="B253" s="106" t="n"/>
      <c r="C253" s="107" t="n"/>
      <c r="D253" s="33" t="n"/>
      <c r="E253" s="33" t="n"/>
      <c r="F253" s="34" t="n"/>
      <c r="G253" s="33" t="n"/>
      <c r="H253" s="33" t="n"/>
      <c r="I253" s="34" t="n"/>
      <c r="J253" s="33" t="n"/>
      <c r="K253" s="33" t="n"/>
      <c r="L253" s="34" t="n"/>
      <c r="M253" s="34" t="n"/>
      <c r="N253" s="36" t="n"/>
      <c r="S253" s="0" t="n"/>
      <c r="T253" s="0" t="n"/>
      <c r="U253" s="0" t="n"/>
      <c r="V253" s="0" t="n"/>
    </row>
    <row outlineLevel="0" r="254">
      <c r="A254" s="106" t="n"/>
      <c r="B254" s="106" t="n"/>
      <c r="C254" s="107" t="n"/>
      <c r="D254" s="33" t="n"/>
      <c r="E254" s="33" t="n"/>
      <c r="F254" s="34" t="n"/>
      <c r="G254" s="33" t="n"/>
      <c r="H254" s="33" t="n"/>
      <c r="I254" s="34" t="n"/>
      <c r="J254" s="33" t="n"/>
      <c r="K254" s="33" t="n"/>
      <c r="L254" s="34" t="n"/>
      <c r="M254" s="34" t="n"/>
      <c r="N254" s="36" t="n"/>
      <c r="S254" s="0" t="n"/>
      <c r="T254" s="0" t="n"/>
      <c r="U254" s="0" t="n"/>
      <c r="V254" s="0" t="n"/>
    </row>
    <row outlineLevel="0" r="255">
      <c r="A255" s="106" t="n"/>
      <c r="B255" s="106" t="n"/>
      <c r="C255" s="107" t="n"/>
      <c r="D255" s="33" t="n"/>
      <c r="E255" s="33" t="n"/>
      <c r="F255" s="34" t="n"/>
      <c r="G255" s="33" t="n"/>
      <c r="H255" s="33" t="n"/>
      <c r="I255" s="34" t="n"/>
      <c r="J255" s="33" t="n"/>
      <c r="K255" s="33" t="n"/>
      <c r="L255" s="34" t="n"/>
      <c r="M255" s="34" t="n"/>
      <c r="N255" s="36" t="n"/>
      <c r="S255" s="0" t="n"/>
      <c r="T255" s="0" t="n"/>
      <c r="U255" s="0" t="n"/>
      <c r="V255" s="0" t="n"/>
    </row>
    <row outlineLevel="0" r="256">
      <c r="A256" s="106" t="n"/>
      <c r="B256" s="106" t="n"/>
      <c r="C256" s="107" t="n"/>
      <c r="D256" s="33" t="n"/>
      <c r="E256" s="33" t="n"/>
      <c r="F256" s="34" t="n"/>
      <c r="G256" s="33" t="n"/>
      <c r="H256" s="33" t="n"/>
      <c r="I256" s="34" t="n"/>
      <c r="J256" s="33" t="n"/>
      <c r="K256" s="33" t="n"/>
      <c r="L256" s="34" t="n"/>
      <c r="M256" s="34" t="n"/>
      <c r="N256" s="36" t="n"/>
      <c r="S256" s="0" t="n"/>
      <c r="T256" s="0" t="n"/>
      <c r="U256" s="0" t="n"/>
      <c r="V256" s="0" t="n"/>
    </row>
    <row outlineLevel="0" r="257">
      <c r="A257" s="106" t="n"/>
      <c r="B257" s="106" t="n"/>
      <c r="C257" s="107" t="n"/>
      <c r="D257" s="33" t="n"/>
      <c r="E257" s="33" t="n"/>
      <c r="F257" s="34" t="n"/>
      <c r="G257" s="33" t="n"/>
      <c r="H257" s="33" t="n"/>
      <c r="I257" s="34" t="n"/>
      <c r="J257" s="33" t="n"/>
      <c r="K257" s="33" t="n"/>
      <c r="L257" s="34" t="n"/>
      <c r="M257" s="34" t="n"/>
      <c r="N257" s="36" t="n"/>
      <c r="S257" s="0" t="n"/>
      <c r="T257" s="0" t="n"/>
      <c r="U257" s="0" t="n"/>
      <c r="V257" s="0" t="n"/>
    </row>
    <row outlineLevel="0" r="258">
      <c r="A258" s="106" t="n"/>
      <c r="B258" s="106" t="n"/>
      <c r="C258" s="107" t="n"/>
      <c r="D258" s="33" t="n"/>
      <c r="E258" s="33" t="n"/>
      <c r="F258" s="34" t="n"/>
      <c r="G258" s="33" t="n"/>
      <c r="H258" s="33" t="n"/>
      <c r="I258" s="34" t="n"/>
      <c r="J258" s="33" t="n"/>
      <c r="K258" s="33" t="n"/>
      <c r="L258" s="34" t="n"/>
      <c r="M258" s="34" t="n"/>
      <c r="N258" s="36" t="n"/>
      <c r="S258" s="0" t="n"/>
      <c r="T258" s="0" t="n"/>
      <c r="U258" s="0" t="n"/>
      <c r="V258" s="0" t="n"/>
    </row>
    <row outlineLevel="0" r="259">
      <c r="N259" s="0" t="n"/>
      <c r="S259" s="0" t="n"/>
      <c r="T259" s="0" t="n"/>
      <c r="U259" s="0" t="n"/>
      <c r="V259" s="0" t="n"/>
    </row>
    <row outlineLevel="0" r="260">
      <c r="N260" s="0" t="n"/>
      <c r="S260" s="0" t="n"/>
      <c r="T260" s="0" t="n"/>
      <c r="U260" s="0" t="n"/>
      <c r="V260" s="0" t="n"/>
    </row>
    <row outlineLevel="0" r="261">
      <c r="N261" s="0" t="n"/>
      <c r="S261" s="0" t="n"/>
      <c r="T261" s="0" t="n"/>
      <c r="U261" s="0" t="n"/>
      <c r="V261" s="0" t="n"/>
    </row>
    <row outlineLevel="0" r="262">
      <c r="N262" s="0" t="n"/>
      <c r="S262" s="0" t="n"/>
      <c r="T262" s="0" t="n"/>
      <c r="U262" s="0" t="n"/>
      <c r="V262" s="0" t="n"/>
    </row>
    <row outlineLevel="0" r="263">
      <c r="N263" s="0" t="n"/>
      <c r="S263" s="0" t="n"/>
      <c r="T263" s="0" t="n"/>
      <c r="U263" s="0" t="n"/>
      <c r="V263" s="0" t="n"/>
    </row>
    <row outlineLevel="0" r="264">
      <c r="N264" s="0" t="n"/>
      <c r="S264" s="0" t="n"/>
      <c r="T264" s="0" t="n"/>
      <c r="U264" s="0" t="n"/>
      <c r="V264" s="0" t="n"/>
    </row>
    <row outlineLevel="0" r="265">
      <c r="N265" s="0" t="n"/>
      <c r="S265" s="0" t="n"/>
      <c r="T265" s="0" t="n"/>
      <c r="U265" s="0" t="n"/>
      <c r="V265" s="0" t="n"/>
    </row>
    <row outlineLevel="0" r="266">
      <c r="N266" s="0" t="n"/>
      <c r="S266" s="0" t="n"/>
      <c r="T266" s="0" t="n"/>
      <c r="U266" s="0" t="n"/>
      <c r="V266" s="0" t="n"/>
    </row>
    <row outlineLevel="0" r="267">
      <c r="N267" s="0" t="n"/>
      <c r="S267" s="0" t="n"/>
      <c r="T267" s="0" t="n"/>
      <c r="U267" s="0" t="n"/>
      <c r="V267" s="0" t="n"/>
    </row>
    <row outlineLevel="0" r="268">
      <c r="N268" s="0" t="n"/>
      <c r="S268" s="0" t="n"/>
      <c r="T268" s="0" t="n"/>
      <c r="U268" s="0" t="n"/>
      <c r="V268" s="0" t="n"/>
    </row>
    <row outlineLevel="0" r="269">
      <c r="N269" s="0" t="n"/>
      <c r="S269" s="0" t="n"/>
      <c r="T269" s="0" t="n"/>
      <c r="U269" s="0" t="n"/>
      <c r="V269" s="0" t="n"/>
    </row>
    <row outlineLevel="0" r="270">
      <c r="N270" s="0" t="n"/>
      <c r="S270" s="0" t="n"/>
      <c r="T270" s="0" t="n"/>
      <c r="U270" s="0" t="n"/>
      <c r="V270" s="0" t="n"/>
    </row>
    <row outlineLevel="0" r="271">
      <c r="N271" s="0" t="n"/>
      <c r="S271" s="0" t="n"/>
      <c r="T271" s="0" t="n"/>
      <c r="U271" s="0" t="n"/>
      <c r="V271" s="0" t="n"/>
    </row>
    <row outlineLevel="0" r="272">
      <c r="N272" s="0" t="n"/>
      <c r="S272" s="0" t="n"/>
      <c r="T272" s="0" t="n"/>
      <c r="U272" s="0" t="n"/>
      <c r="V272" s="0" t="n"/>
    </row>
    <row outlineLevel="0" r="273">
      <c r="N273" s="0" t="n"/>
      <c r="S273" s="0" t="n"/>
      <c r="T273" s="0" t="n"/>
      <c r="U273" s="0" t="n"/>
      <c r="V273" s="0" t="n"/>
    </row>
    <row outlineLevel="0" r="274">
      <c r="N274" s="0" t="n"/>
      <c r="S274" s="0" t="n"/>
      <c r="T274" s="0" t="n"/>
      <c r="U274" s="0" t="n"/>
      <c r="V274" s="0" t="n"/>
    </row>
    <row outlineLevel="0" r="275">
      <c r="N275" s="0" t="n"/>
      <c r="S275" s="0" t="n"/>
      <c r="T275" s="0" t="n"/>
      <c r="U275" s="0" t="n"/>
      <c r="V275" s="0" t="n"/>
    </row>
    <row outlineLevel="0" r="276">
      <c r="N276" s="0" t="n"/>
      <c r="S276" s="0" t="n"/>
      <c r="T276" s="0" t="n"/>
      <c r="U276" s="0" t="n"/>
      <c r="V276" s="0" t="n"/>
    </row>
    <row outlineLevel="0" r="277">
      <c r="N277" s="0" t="n"/>
      <c r="S277" s="0" t="n"/>
      <c r="T277" s="0" t="n"/>
      <c r="U277" s="0" t="n"/>
      <c r="V277" s="0" t="n"/>
    </row>
    <row outlineLevel="0" r="278">
      <c r="N278" s="0" t="n"/>
      <c r="S278" s="0" t="n"/>
      <c r="T278" s="0" t="n"/>
      <c r="U278" s="0" t="n"/>
      <c r="V278" s="0" t="n"/>
    </row>
    <row outlineLevel="0" r="279">
      <c r="N279" s="0" t="n"/>
      <c r="S279" s="0" t="n"/>
      <c r="T279" s="0" t="n"/>
      <c r="U279" s="0" t="n"/>
      <c r="V279" s="0" t="n"/>
    </row>
    <row outlineLevel="0" r="280">
      <c r="N280" s="0" t="n"/>
      <c r="S280" s="0" t="n"/>
      <c r="T280" s="0" t="n"/>
      <c r="U280" s="0" t="n"/>
      <c r="V280" s="0" t="n"/>
    </row>
    <row outlineLevel="0" r="281">
      <c r="N281" s="0" t="n"/>
      <c r="S281" s="0" t="n"/>
      <c r="T281" s="0" t="n"/>
      <c r="U281" s="0" t="n"/>
      <c r="V281" s="0" t="n"/>
    </row>
    <row outlineLevel="0" r="282">
      <c r="N282" s="0" t="n"/>
      <c r="S282" s="0" t="n"/>
      <c r="T282" s="0" t="n"/>
      <c r="U282" s="0" t="n"/>
      <c r="V282" s="0" t="n"/>
    </row>
    <row outlineLevel="0" r="283">
      <c r="N283" s="0" t="n"/>
      <c r="S283" s="0" t="n"/>
      <c r="T283" s="0" t="n"/>
      <c r="U283" s="0" t="n"/>
      <c r="V283" s="0" t="n"/>
    </row>
    <row outlineLevel="0" r="284">
      <c r="N284" s="0" t="n"/>
      <c r="S284" s="0" t="n"/>
      <c r="T284" s="0" t="n"/>
      <c r="U284" s="0" t="n"/>
      <c r="V284" s="0" t="n"/>
    </row>
    <row outlineLevel="0" r="285">
      <c r="N285" s="0" t="n"/>
      <c r="S285" s="0" t="n"/>
      <c r="T285" s="0" t="n"/>
      <c r="U285" s="0" t="n"/>
      <c r="V285" s="0" t="n"/>
    </row>
    <row outlineLevel="0" r="286">
      <c r="N286" s="0" t="n"/>
      <c r="S286" s="0" t="n"/>
      <c r="T286" s="0" t="n"/>
      <c r="U286" s="0" t="n"/>
      <c r="V286" s="0" t="n"/>
    </row>
    <row outlineLevel="0" r="287">
      <c r="N287" s="0" t="n"/>
      <c r="S287" s="0" t="n"/>
      <c r="T287" s="0" t="n"/>
      <c r="U287" s="0" t="n"/>
      <c r="V287" s="0" t="n"/>
    </row>
    <row outlineLevel="0" r="288">
      <c r="N288" s="0" t="n"/>
      <c r="S288" s="0" t="n"/>
      <c r="T288" s="0" t="n"/>
      <c r="U288" s="0" t="n"/>
      <c r="V288" s="0" t="n"/>
    </row>
    <row outlineLevel="0" r="289">
      <c r="N289" s="0" t="n"/>
      <c r="S289" s="0" t="n"/>
      <c r="T289" s="0" t="n"/>
      <c r="U289" s="0" t="n"/>
      <c r="V289" s="0" t="n"/>
    </row>
    <row outlineLevel="0" r="290">
      <c r="N290" s="0" t="n"/>
      <c r="S290" s="0" t="n"/>
      <c r="T290" s="0" t="n"/>
      <c r="U290" s="0" t="n"/>
      <c r="V290" s="0" t="n"/>
    </row>
    <row outlineLevel="0" r="291">
      <c r="N291" s="0" t="n"/>
      <c r="S291" s="0" t="n"/>
      <c r="T291" s="0" t="n"/>
      <c r="U291" s="0" t="n"/>
      <c r="V291" s="0" t="n"/>
    </row>
    <row outlineLevel="0" r="292">
      <c r="N292" s="0" t="n"/>
      <c r="S292" s="0" t="n"/>
      <c r="T292" s="0" t="n"/>
      <c r="U292" s="0" t="n"/>
      <c r="V292" s="0" t="n"/>
    </row>
  </sheetData>
  <mergeCells count="15">
    <mergeCell ref="A1:C1"/>
    <mergeCell ref="D1:F1"/>
    <mergeCell ref="G1:I1"/>
    <mergeCell ref="J1:L1"/>
    <mergeCell ref="J78:L79"/>
    <mergeCell ref="A78:C79"/>
    <mergeCell ref="D78:F79"/>
    <mergeCell ref="G78:I79"/>
    <mergeCell ref="N76:N77"/>
    <mergeCell ref="S1:V1"/>
    <mergeCell ref="S2:S3"/>
    <mergeCell ref="T2:T3"/>
    <mergeCell ref="U2:U3"/>
    <mergeCell ref="V2:V3"/>
    <mergeCell ref="O99:W100"/>
  </mergeCells>
  <pageMargins bottom="0.59055554866790771" footer="0.19680555164813995" header="0.19680555164813995" left="0.59055554866790771" right="0.59055554866790771" top="0.5905555486679077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MyOffice-CoreFramework-macOS/40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2026-02-09T07:14:35Z</dcterms:created>
  <dcterms:modified xsi:type="dcterms:W3CDTF">2026-05-14T11:54:02Z</dcterms:modified>
</cp:coreProperties>
</file>